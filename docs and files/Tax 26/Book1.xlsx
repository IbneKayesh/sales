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evKayesh\Users\kayesh\source\repos\app-sales\docs and files\Tax 26\"/>
    </mc:Choice>
  </mc:AlternateContent>
  <xr:revisionPtr revIDLastSave="0" documentId="13_ncr:1_{AD34367F-54F8-4C0D-A504-69FF0C1E30DE}" xr6:coauthVersionLast="36" xr6:coauthVersionMax="36" xr10:uidLastSave="{00000000-0000-0000-0000-000000000000}"/>
  <bookViews>
    <workbookView xWindow="0" yWindow="0" windowWidth="28800" windowHeight="12105" activeTab="1" xr2:uid="{5532516C-4457-4313-89DF-0CE26A5B2D3A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11" i="2" l="1"/>
  <c r="H107" i="2"/>
  <c r="H104" i="2"/>
  <c r="H103" i="2"/>
  <c r="H105" i="2"/>
  <c r="G104" i="2"/>
  <c r="G100" i="2" s="1"/>
  <c r="E101" i="2"/>
  <c r="E100" i="2"/>
  <c r="E99" i="2"/>
  <c r="E98" i="2"/>
  <c r="F63" i="2"/>
  <c r="E111" i="2"/>
  <c r="E108" i="2"/>
  <c r="H55" i="2"/>
  <c r="H62" i="2"/>
  <c r="G71" i="2"/>
  <c r="H42" i="2"/>
  <c r="H41" i="2"/>
  <c r="I41" i="2"/>
  <c r="F41" i="2"/>
  <c r="G78" i="2"/>
  <c r="H78" i="2"/>
  <c r="I78" i="2"/>
  <c r="I94" i="2"/>
  <c r="H94" i="2"/>
  <c r="G94" i="2"/>
  <c r="H71" i="2"/>
  <c r="I71" i="2"/>
  <c r="F31" i="2" l="1"/>
  <c r="E31" i="2"/>
  <c r="H60" i="2"/>
  <c r="H59" i="2"/>
  <c r="H58" i="2"/>
  <c r="H57" i="2"/>
  <c r="H56" i="2"/>
  <c r="E60" i="2"/>
  <c r="E59" i="2"/>
  <c r="E58" i="2"/>
  <c r="E57" i="2"/>
  <c r="E56" i="2"/>
  <c r="E55" i="2"/>
  <c r="F25" i="1"/>
  <c r="J27" i="1"/>
  <c r="G27" i="1"/>
  <c r="F27" i="1"/>
  <c r="H3" i="1"/>
  <c r="H4" i="1"/>
  <c r="H63" i="2" l="1"/>
</calcChain>
</file>

<file path=xl/sharedStrings.xml><?xml version="1.0" encoding="utf-8"?>
<sst xmlns="http://schemas.openxmlformats.org/spreadsheetml/2006/main" count="207" uniqueCount="151">
  <si>
    <t>3021256950007</t>
  </si>
  <si>
    <t>Interset</t>
  </si>
  <si>
    <t>tax</t>
  </si>
  <si>
    <t>net</t>
  </si>
  <si>
    <t>end balance</t>
  </si>
  <si>
    <t>FDR 1</t>
  </si>
  <si>
    <t>FDR 2</t>
  </si>
  <si>
    <t>3021256950009</t>
  </si>
  <si>
    <t>Accounts</t>
  </si>
  <si>
    <t>1021256950001</t>
  </si>
  <si>
    <t>Brac</t>
  </si>
  <si>
    <t>DPS</t>
  </si>
  <si>
    <t>3021256950008</t>
  </si>
  <si>
    <t>113EINC252440816</t>
  </si>
  <si>
    <t xml:space="preserve"> ENVATO PTY LTD</t>
  </si>
  <si>
    <t>113RES1BDT000001</t>
  </si>
  <si>
    <t>1133429000000122</t>
  </si>
  <si>
    <t>113RSCOBDT000001</t>
  </si>
  <si>
    <t>113RSCOBDT000002</t>
  </si>
  <si>
    <t>1133204000099223</t>
  </si>
  <si>
    <t>Page 1</t>
  </si>
  <si>
    <t>Assessment Year</t>
  </si>
  <si>
    <t>2026-2027</t>
  </si>
  <si>
    <t>Income Year</t>
  </si>
  <si>
    <t>Tax Exempted Income</t>
  </si>
  <si>
    <t>Yes</t>
  </si>
  <si>
    <t>Envato</t>
  </si>
  <si>
    <t>Any taxable income in the income year?</t>
  </si>
  <si>
    <t>Income from Employment</t>
  </si>
  <si>
    <t>Salary</t>
  </si>
  <si>
    <t>Income from Financial Assets</t>
  </si>
  <si>
    <t>Savings BI/FDR/DPS</t>
  </si>
  <si>
    <t>Page 2</t>
  </si>
  <si>
    <t>Location of Main Source of Income</t>
  </si>
  <si>
    <t>Dhaka North City Corporation</t>
  </si>
  <si>
    <t>Claim tax rebate for investment?</t>
  </si>
  <si>
    <t>Savings DPS/RPF</t>
  </si>
  <si>
    <t>IT10B Requirements</t>
  </si>
  <si>
    <t>Gross Wealth over 50,00,000?</t>
  </si>
  <si>
    <t>No</t>
  </si>
  <si>
    <t>IT10B may not be mandatory. Still want to submit?</t>
  </si>
  <si>
    <t>Page 3</t>
  </si>
  <si>
    <t>City Sugar Industries Limited</t>
  </si>
  <si>
    <t>Assistant Manager</t>
  </si>
  <si>
    <t>Private/Other than Government Pay Scale</t>
  </si>
  <si>
    <t>Particulars</t>
  </si>
  <si>
    <t>Basic Salary</t>
  </si>
  <si>
    <t>House Rent Allowance</t>
  </si>
  <si>
    <t>Medical Allowance</t>
  </si>
  <si>
    <t>Conveyance Allowance</t>
  </si>
  <si>
    <t>Festival Bonus</t>
  </si>
  <si>
    <t>Employer’s Contribution to RPF</t>
  </si>
  <si>
    <t>From Salary Statement</t>
  </si>
  <si>
    <t>Interest/Profit (Bank/FI)</t>
  </si>
  <si>
    <t>Savings</t>
  </si>
  <si>
    <t>Type</t>
  </si>
  <si>
    <t>Bank</t>
  </si>
  <si>
    <t>Brac Bank PLC - North Gulshan Branch</t>
  </si>
  <si>
    <t>Year End Balance</t>
  </si>
  <si>
    <t>TDS</t>
  </si>
  <si>
    <t>Charge</t>
  </si>
  <si>
    <t>Gross I/Profit</t>
  </si>
  <si>
    <t>Account No</t>
  </si>
  <si>
    <t>UCB PLC - Pragati Sarani Branch</t>
  </si>
  <si>
    <t>FDR</t>
  </si>
  <si>
    <t>ENVATO PTY LTD</t>
  </si>
  <si>
    <t xml:space="preserve">Deposit Pension Scheme (DPS) </t>
  </si>
  <si>
    <t>Deposit Amount</t>
  </si>
  <si>
    <t xml:space="preserve">Recognized Provident Fund (RPF) </t>
  </si>
  <si>
    <t>CITY SUGAR INDUSTRIES LIMITED</t>
  </si>
  <si>
    <t>Self</t>
  </si>
  <si>
    <t>Employer</t>
  </si>
  <si>
    <t>Page 5</t>
  </si>
  <si>
    <t>Expenses for Food, Clothing and Other Essentials</t>
  </si>
  <si>
    <t>Accommodation Expense</t>
  </si>
  <si>
    <t>Electricity</t>
  </si>
  <si>
    <t>Gas, Water, Sewer and Garbage</t>
  </si>
  <si>
    <t>Phone, Internet, TV channels and Subscription</t>
  </si>
  <si>
    <t>Festival, Party, Events</t>
  </si>
  <si>
    <t>Payment of Tax at Source &amp; Advance Tax.</t>
  </si>
  <si>
    <t>Prev. Per Month</t>
  </si>
  <si>
    <t>Prev. Total</t>
  </si>
  <si>
    <t>Curr. Per Month</t>
  </si>
  <si>
    <t>Curr. Total</t>
  </si>
  <si>
    <t>TOTAL</t>
  </si>
  <si>
    <t>2526-00047972211</t>
  </si>
  <si>
    <t>Date-28-08-2025</t>
  </si>
  <si>
    <t>2526-00090906041</t>
  </si>
  <si>
    <t>Date-09-10-2025</t>
  </si>
  <si>
    <t>2526-00143690091</t>
  </si>
  <si>
    <t>Date-12-11-2025</t>
  </si>
  <si>
    <t>2526-00186404831</t>
  </si>
  <si>
    <t>Date-22-12-2025</t>
  </si>
  <si>
    <t>2526-00216135591</t>
  </si>
  <si>
    <t>Date-12-01-2026</t>
  </si>
  <si>
    <t>2526-00364636831</t>
  </si>
  <si>
    <t>Date-25-02-2026</t>
  </si>
  <si>
    <t>2526-00408566251</t>
  </si>
  <si>
    <t>Date-09-03-2026</t>
  </si>
  <si>
    <t>2526-00463135601</t>
  </si>
  <si>
    <t>Date-06-04-2026</t>
  </si>
  <si>
    <t>2526-00500100911</t>
  </si>
  <si>
    <t>Date-29-04-2026</t>
  </si>
  <si>
    <t>2526-00547569241</t>
  </si>
  <si>
    <t>Date-09-06-2026</t>
  </si>
  <si>
    <t>2526-00586892341</t>
  </si>
  <si>
    <t>Date-29-06-2026</t>
  </si>
  <si>
    <t>2526-00607569751</t>
  </si>
  <si>
    <t>Date-30-06-2026</t>
  </si>
  <si>
    <t>Pubali, Gulshan Corporate</t>
  </si>
  <si>
    <t>Trn. Br: 113 ENVATO PTY LTD 240120001
Digi Remit ID:B09525244Z006918 _EASTERN BANK LTD.,REMITTANCE</t>
  </si>
  <si>
    <t>One Bank, Gulshan North</t>
  </si>
  <si>
    <t>Sonali Bank, Gulshan New North Circle</t>
  </si>
  <si>
    <t>1133580000303936</t>
  </si>
  <si>
    <t>1133581000002676</t>
  </si>
  <si>
    <t>Maturity</t>
  </si>
  <si>
    <t>Total</t>
  </si>
  <si>
    <t>INTEREST ON FIXED DEPOSIT ( INT RATE: %)</t>
  </si>
  <si>
    <t>TAX</t>
  </si>
  <si>
    <t xml:space="preserve">INTEREST ON FIXED DEPOSIT </t>
  </si>
  <si>
    <t>INTEREST ON FIXED DEPOSIT</t>
  </si>
  <si>
    <t>DEPOSIT MATURITY</t>
  </si>
  <si>
    <t>INSTALLMENT/NEW DEPOSIT AND CREDIT INTEREST</t>
  </si>
  <si>
    <t>Opening</t>
  </si>
  <si>
    <t>DPS - 5000 BDT</t>
  </si>
  <si>
    <t>DPS - 3000 BDT</t>
  </si>
  <si>
    <t>FDR - 1L BDT</t>
  </si>
  <si>
    <t>Income</t>
  </si>
  <si>
    <t>Rebate</t>
  </si>
  <si>
    <t>Page 4.2</t>
  </si>
  <si>
    <t>Page 4.1</t>
  </si>
  <si>
    <t>Total Source TAX</t>
  </si>
  <si>
    <t>Gross Wealth</t>
  </si>
  <si>
    <t>NW Previous Income Year</t>
  </si>
  <si>
    <t>Change NW</t>
  </si>
  <si>
    <t>Fund Flow IY</t>
  </si>
  <si>
    <t>Total Fund Outflow</t>
  </si>
  <si>
    <t>Source Fund</t>
  </si>
  <si>
    <t>1/3rd</t>
  </si>
  <si>
    <t>Taxable</t>
  </si>
  <si>
    <t>Allow Investment 10%</t>
  </si>
  <si>
    <t>Nill</t>
  </si>
  <si>
    <t>3L</t>
  </si>
  <si>
    <t>4L</t>
  </si>
  <si>
    <t>Net TAX</t>
  </si>
  <si>
    <t>Investment Rebate</t>
  </si>
  <si>
    <t>Payble TAX</t>
  </si>
  <si>
    <t>Salary TDS</t>
  </si>
  <si>
    <t>Bank TDS</t>
  </si>
  <si>
    <t>Incentive</t>
  </si>
  <si>
    <t>Outstanding TAX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</si>
</sst>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5000445]#,##0.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quotePrefix="1"/>
    <xf numFmtId="0" fontId="1" fillId="0" borderId="0" xfId="0" applyFont="1"/>
    <xf numFmtId="14" fontId="0" fillId="0" borderId="0" xfId="0" applyNumberFormat="1"/>
    <xf numFmtId="4" fontId="0" fillId="0" borderId="0" xfId="0" applyNumberFormat="1"/>
    <xf numFmtId="14" fontId="0" fillId="2" borderId="0" xfId="0" applyNumberFormat="1" applyFill="1"/>
    <xf numFmtId="0" fontId="0" fillId="2" borderId="0" xfId="0" applyFill="1"/>
    <xf numFmtId="0" fontId="0" fillId="2" borderId="0" xfId="0" quotePrefix="1" applyFill="1"/>
    <xf numFmtId="4" fontId="0" fillId="2" borderId="0" xfId="0" applyNumberFormat="1" applyFill="1"/>
    <xf numFmtId="0" fontId="0" fillId="3" borderId="0" xfId="0" applyFill="1"/>
    <xf numFmtId="14" fontId="0" fillId="3" borderId="0" xfId="0" applyNumberFormat="1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6" borderId="0" xfId="0" quotePrefix="1" applyFill="1"/>
    <xf numFmtId="0" fontId="0" fillId="7" borderId="0" xfId="0" applyFill="1" applyAlignment="1">
      <alignment wrapText="1"/>
    </xf>
    <xf numFmtId="0" fontId="0" fillId="7" borderId="0" xfId="0" applyFill="1"/>
    <xf numFmtId="4" fontId="0" fillId="7" borderId="0" xfId="0" applyNumberFormat="1" applyFill="1"/>
    <xf numFmtId="0" fontId="0" fillId="8" borderId="0" xfId="0" applyFill="1"/>
    <xf numFmtId="0" fontId="0" fillId="8" borderId="0" xfId="0" quotePrefix="1" applyFill="1"/>
    <xf numFmtId="0" fontId="1" fillId="5" borderId="0" xfId="0" applyFont="1" applyFill="1"/>
    <xf numFmtId="164" fontId="0" fillId="5" borderId="0" xfId="0" applyNumberFormat="1" applyFill="1"/>
    <xf numFmtId="0" fontId="2" fillId="8" borderId="0" xfId="0" applyFont="1" applyFill="1"/>
    <xf numFmtId="14" fontId="0" fillId="6" borderId="0" xfId="0" applyNumberFormat="1" applyFill="1"/>
    <xf numFmtId="0" fontId="1" fillId="6" borderId="0" xfId="0" applyFont="1" applyFill="1"/>
    <xf numFmtId="0" fontId="0" fillId="9" borderId="0" xfId="0" applyFill="1"/>
    <xf numFmtId="0" fontId="0" fillId="9" borderId="0" xfId="0" applyFill="1" applyAlignment="1">
      <alignment wrapText="1"/>
    </xf>
    <xf numFmtId="0" fontId="2" fillId="6" borderId="0" xfId="0" quotePrefix="1" applyFont="1" applyFill="1"/>
    <xf numFmtId="0" fontId="2" fillId="6" borderId="0" xfId="0" applyFont="1" applyFill="1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2B66B-FE2F-44D0-8803-6FADA8C4D8A5}">
  <dimension ref="C2:J27"/>
  <sheetViews>
    <sheetView workbookViewId="0">
      <selection activeCell="M14" sqref="M14"/>
    </sheetView>
  </sheetViews>
  <sheetFormatPr defaultRowHeight="15" x14ac:dyDescent="0.25"/>
  <cols>
    <col min="3" max="3" width="16.85546875" bestFit="1" customWidth="1"/>
    <col min="4" max="4" width="18.42578125" bestFit="1" customWidth="1"/>
    <col min="5" max="5" width="17.42578125" bestFit="1" customWidth="1"/>
    <col min="6" max="6" width="17.28515625" bestFit="1" customWidth="1"/>
    <col min="7" max="7" width="8" bestFit="1" customWidth="1"/>
    <col min="8" max="8" width="9.140625" bestFit="1" customWidth="1"/>
    <col min="10" max="10" width="11.7109375" bestFit="1" customWidth="1"/>
  </cols>
  <sheetData>
    <row r="2" spans="3:10" x14ac:dyDescent="0.25">
      <c r="F2" s="2" t="s">
        <v>1</v>
      </c>
      <c r="G2" s="2" t="s">
        <v>2</v>
      </c>
      <c r="H2" s="2" t="s">
        <v>3</v>
      </c>
      <c r="I2" s="2"/>
      <c r="J2" s="2" t="s">
        <v>4</v>
      </c>
    </row>
    <row r="3" spans="3:10" x14ac:dyDescent="0.25">
      <c r="C3" t="s">
        <v>10</v>
      </c>
      <c r="D3" t="s">
        <v>8</v>
      </c>
      <c r="E3" s="1" t="s">
        <v>9</v>
      </c>
      <c r="F3">
        <v>381</v>
      </c>
      <c r="G3">
        <v>49.79</v>
      </c>
      <c r="H3">
        <f>F3-G3</f>
        <v>331.21</v>
      </c>
      <c r="J3">
        <v>87230.26</v>
      </c>
    </row>
    <row r="4" spans="3:10" x14ac:dyDescent="0.25">
      <c r="D4" t="s">
        <v>5</v>
      </c>
      <c r="E4" s="1" t="s">
        <v>0</v>
      </c>
      <c r="F4">
        <v>10138.89</v>
      </c>
      <c r="G4">
        <v>1013.89</v>
      </c>
      <c r="H4">
        <f>F4-G4</f>
        <v>9125</v>
      </c>
      <c r="J4">
        <v>109125</v>
      </c>
    </row>
    <row r="5" spans="3:10" x14ac:dyDescent="0.25">
      <c r="D5" t="s">
        <v>6</v>
      </c>
      <c r="E5" s="1" t="s">
        <v>7</v>
      </c>
      <c r="F5">
        <v>0</v>
      </c>
      <c r="G5">
        <v>0</v>
      </c>
      <c r="H5">
        <v>0</v>
      </c>
    </row>
    <row r="8" spans="3:10" x14ac:dyDescent="0.25">
      <c r="D8" t="s">
        <v>11</v>
      </c>
      <c r="E8" s="1" t="s">
        <v>12</v>
      </c>
      <c r="F8">
        <v>0</v>
      </c>
      <c r="G8">
        <v>0</v>
      </c>
      <c r="H8">
        <v>40000</v>
      </c>
      <c r="J8">
        <v>41065.9</v>
      </c>
    </row>
    <row r="12" spans="3:10" x14ac:dyDescent="0.25">
      <c r="C12" t="s">
        <v>14</v>
      </c>
      <c r="D12" s="3">
        <v>45901</v>
      </c>
      <c r="E12" t="s">
        <v>13</v>
      </c>
      <c r="H12" s="4">
        <v>13212.97</v>
      </c>
    </row>
    <row r="14" spans="3:10" x14ac:dyDescent="0.25">
      <c r="C14" s="5">
        <v>45964</v>
      </c>
      <c r="D14" s="6" t="s">
        <v>15</v>
      </c>
      <c r="E14" s="7" t="s">
        <v>16</v>
      </c>
      <c r="F14" s="6">
        <v>4612.5</v>
      </c>
      <c r="G14" s="6"/>
      <c r="H14" s="6"/>
      <c r="I14" s="6"/>
      <c r="J14" s="6"/>
    </row>
    <row r="15" spans="3:10" x14ac:dyDescent="0.25">
      <c r="C15" s="6"/>
      <c r="D15" s="6"/>
      <c r="E15" s="6"/>
      <c r="F15" s="6"/>
      <c r="G15" s="6"/>
      <c r="H15" s="6"/>
      <c r="I15" s="6"/>
      <c r="J15" s="6"/>
    </row>
    <row r="16" spans="3:10" x14ac:dyDescent="0.25">
      <c r="C16" s="5">
        <v>46022</v>
      </c>
      <c r="D16" s="6" t="s">
        <v>17</v>
      </c>
      <c r="E16" s="7" t="s">
        <v>19</v>
      </c>
      <c r="F16" s="6">
        <v>35.479999999999997</v>
      </c>
      <c r="G16" s="6"/>
      <c r="H16" s="6"/>
      <c r="I16" s="6"/>
      <c r="J16" s="6"/>
    </row>
    <row r="17" spans="3:10" x14ac:dyDescent="0.25">
      <c r="C17" s="6"/>
      <c r="D17" s="6" t="s">
        <v>18</v>
      </c>
      <c r="E17" s="7" t="s">
        <v>19</v>
      </c>
      <c r="F17" s="6"/>
      <c r="G17" s="6">
        <v>3.55</v>
      </c>
      <c r="H17" s="6"/>
      <c r="I17" s="6"/>
      <c r="J17" s="6"/>
    </row>
    <row r="18" spans="3:10" x14ac:dyDescent="0.25">
      <c r="C18" s="6"/>
      <c r="D18" s="6"/>
      <c r="E18" s="6"/>
      <c r="F18" s="6"/>
      <c r="G18" s="6"/>
      <c r="H18" s="6"/>
      <c r="I18" s="6"/>
      <c r="J18" s="6"/>
    </row>
    <row r="19" spans="3:10" x14ac:dyDescent="0.25">
      <c r="C19" s="5">
        <v>46145</v>
      </c>
      <c r="D19" s="6" t="s">
        <v>15</v>
      </c>
      <c r="E19" s="7" t="s">
        <v>16</v>
      </c>
      <c r="F19" s="6">
        <v>4356.25</v>
      </c>
      <c r="G19" s="6"/>
      <c r="H19" s="6"/>
      <c r="I19" s="6"/>
      <c r="J19" s="6"/>
    </row>
    <row r="20" spans="3:10" x14ac:dyDescent="0.25">
      <c r="C20" s="6"/>
      <c r="D20" s="6"/>
      <c r="E20" s="6"/>
      <c r="F20" s="6"/>
      <c r="G20" s="6"/>
      <c r="H20" s="6"/>
      <c r="I20" s="6"/>
      <c r="J20" s="6"/>
    </row>
    <row r="21" spans="3:10" x14ac:dyDescent="0.25">
      <c r="C21" s="5">
        <v>46203</v>
      </c>
      <c r="D21" s="6" t="s">
        <v>17</v>
      </c>
      <c r="E21" s="7" t="s">
        <v>19</v>
      </c>
      <c r="F21" s="6">
        <v>120.91</v>
      </c>
      <c r="G21" s="6"/>
      <c r="H21" s="6"/>
      <c r="I21" s="6"/>
      <c r="J21" s="6"/>
    </row>
    <row r="22" spans="3:10" x14ac:dyDescent="0.25">
      <c r="C22" s="6"/>
      <c r="D22" s="6" t="s">
        <v>18</v>
      </c>
      <c r="E22" s="7" t="s">
        <v>19</v>
      </c>
      <c r="F22" s="6"/>
      <c r="G22" s="6">
        <v>18.14</v>
      </c>
      <c r="H22" s="6"/>
      <c r="I22" s="6"/>
      <c r="J22" s="8">
        <v>33878.82</v>
      </c>
    </row>
    <row r="25" spans="3:10" x14ac:dyDescent="0.25">
      <c r="E25" s="1" t="s">
        <v>16</v>
      </c>
      <c r="F25">
        <f>F14+F19</f>
        <v>8968.75</v>
      </c>
    </row>
    <row r="27" spans="3:10" x14ac:dyDescent="0.25">
      <c r="E27" s="1" t="s">
        <v>19</v>
      </c>
      <c r="F27">
        <f>F16+F21</f>
        <v>156.38999999999999</v>
      </c>
      <c r="G27">
        <f>G17+G22</f>
        <v>21.69</v>
      </c>
      <c r="J27" s="4">
        <f>J22</f>
        <v>33878.82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1374D-A718-41F3-94CD-41CBFD607B49}">
  <dimension ref="B2:J112"/>
  <sheetViews>
    <sheetView tabSelected="1" topLeftCell="A61" workbookViewId="0">
      <selection activeCell="D81" sqref="D81"/>
    </sheetView>
  </sheetViews>
  <sheetFormatPr defaultRowHeight="15" x14ac:dyDescent="0.25"/>
  <cols>
    <col min="2" max="2" width="8.28515625" bestFit="1" customWidth="1"/>
    <col min="3" max="3" width="45.140625" bestFit="1" customWidth="1"/>
    <col min="4" max="4" width="61.5703125" bestFit="1" customWidth="1"/>
    <col min="5" max="5" width="17.28515625" bestFit="1" customWidth="1"/>
    <col min="6" max="6" width="12.7109375" bestFit="1" customWidth="1"/>
    <col min="7" max="7" width="16.85546875" bestFit="1" customWidth="1"/>
    <col min="8" max="8" width="15.42578125" bestFit="1" customWidth="1"/>
    <col min="9" max="9" width="47" bestFit="1" customWidth="1"/>
    <col min="10" max="10" width="21.42578125" bestFit="1" customWidth="1"/>
  </cols>
  <sheetData>
    <row r="2" spans="2:10" x14ac:dyDescent="0.25">
      <c r="B2" t="s">
        <v>20</v>
      </c>
      <c r="C2" s="9" t="s">
        <v>21</v>
      </c>
      <c r="D2" s="9" t="s">
        <v>22</v>
      </c>
      <c r="E2" s="9"/>
      <c r="F2" s="9"/>
      <c r="G2" s="9"/>
      <c r="H2" s="9"/>
      <c r="I2" s="9"/>
      <c r="J2" s="9"/>
    </row>
    <row r="3" spans="2:10" x14ac:dyDescent="0.25">
      <c r="C3" s="9" t="s">
        <v>23</v>
      </c>
      <c r="D3" s="10">
        <v>45839</v>
      </c>
      <c r="E3" s="10">
        <v>46203</v>
      </c>
      <c r="F3" s="9"/>
      <c r="G3" s="9"/>
      <c r="H3" s="9"/>
      <c r="I3" s="9"/>
      <c r="J3" s="9"/>
    </row>
    <row r="4" spans="2:10" x14ac:dyDescent="0.25">
      <c r="C4" s="9"/>
      <c r="D4" s="9"/>
      <c r="E4" s="9"/>
      <c r="F4" s="9"/>
      <c r="G4" s="9"/>
      <c r="H4" s="9"/>
      <c r="I4" s="9"/>
      <c r="J4" s="9"/>
    </row>
    <row r="5" spans="2:10" x14ac:dyDescent="0.25">
      <c r="C5" s="9" t="s">
        <v>24</v>
      </c>
      <c r="D5" s="9" t="s">
        <v>39</v>
      </c>
      <c r="E5" s="9"/>
      <c r="F5" s="9"/>
      <c r="G5" s="9"/>
      <c r="H5" s="9"/>
      <c r="I5" s="9"/>
      <c r="J5" s="22" t="s">
        <v>26</v>
      </c>
    </row>
    <row r="6" spans="2:10" x14ac:dyDescent="0.25">
      <c r="C6" s="9"/>
      <c r="D6" s="9"/>
      <c r="E6" s="9"/>
      <c r="F6" s="9"/>
      <c r="G6" s="9"/>
      <c r="H6" s="9"/>
      <c r="I6" s="9"/>
      <c r="J6" s="9"/>
    </row>
    <row r="7" spans="2:10" x14ac:dyDescent="0.25">
      <c r="C7" s="9" t="s">
        <v>27</v>
      </c>
      <c r="D7" s="9" t="s">
        <v>25</v>
      </c>
      <c r="E7" s="9"/>
      <c r="F7" s="9"/>
      <c r="G7" s="9"/>
      <c r="H7" s="9"/>
      <c r="I7" s="9"/>
      <c r="J7" s="9"/>
    </row>
    <row r="8" spans="2:10" x14ac:dyDescent="0.25">
      <c r="C8" s="9"/>
      <c r="D8" s="9" t="s">
        <v>28</v>
      </c>
      <c r="E8" s="9"/>
      <c r="F8" s="9"/>
      <c r="G8" s="9"/>
      <c r="H8" s="9"/>
      <c r="I8" s="9"/>
      <c r="J8" s="9" t="s">
        <v>29</v>
      </c>
    </row>
    <row r="9" spans="2:10" x14ac:dyDescent="0.25">
      <c r="C9" s="9"/>
      <c r="D9" s="9" t="s">
        <v>30</v>
      </c>
      <c r="E9" s="9"/>
      <c r="F9" s="9"/>
      <c r="G9" s="9"/>
      <c r="H9" s="9"/>
      <c r="I9" s="9"/>
      <c r="J9" s="9" t="s">
        <v>31</v>
      </c>
    </row>
    <row r="11" spans="2:10" x14ac:dyDescent="0.25">
      <c r="B11" t="s">
        <v>32</v>
      </c>
      <c r="C11" s="11" t="s">
        <v>33</v>
      </c>
      <c r="D11" s="11" t="s">
        <v>34</v>
      </c>
      <c r="E11" s="11"/>
      <c r="F11" s="11"/>
      <c r="G11" s="11"/>
      <c r="H11" s="11"/>
      <c r="I11" s="11"/>
      <c r="J11" s="11"/>
    </row>
    <row r="12" spans="2:10" x14ac:dyDescent="0.25">
      <c r="C12" s="11"/>
      <c r="D12" s="11"/>
      <c r="E12" s="11"/>
      <c r="F12" s="11"/>
      <c r="G12" s="11"/>
      <c r="H12" s="11"/>
      <c r="I12" s="11"/>
      <c r="J12" s="11"/>
    </row>
    <row r="13" spans="2:10" x14ac:dyDescent="0.25">
      <c r="C13" s="11" t="s">
        <v>35</v>
      </c>
      <c r="D13" s="11" t="s">
        <v>25</v>
      </c>
      <c r="E13" s="11"/>
      <c r="F13" s="11"/>
      <c r="G13" s="11"/>
      <c r="H13" s="11"/>
      <c r="I13" s="11"/>
      <c r="J13" s="11" t="s">
        <v>36</v>
      </c>
    </row>
    <row r="14" spans="2:10" x14ac:dyDescent="0.25">
      <c r="C14" s="11"/>
      <c r="D14" s="11"/>
      <c r="E14" s="11"/>
      <c r="F14" s="11"/>
      <c r="G14" s="11"/>
      <c r="H14" s="11"/>
      <c r="I14" s="11"/>
      <c r="J14" s="11"/>
    </row>
    <row r="15" spans="2:10" x14ac:dyDescent="0.25">
      <c r="C15" s="11" t="s">
        <v>37</v>
      </c>
      <c r="D15" s="11"/>
      <c r="E15" s="11"/>
      <c r="F15" s="11"/>
      <c r="G15" s="11"/>
      <c r="H15" s="11"/>
      <c r="I15" s="11"/>
      <c r="J15" s="11"/>
    </row>
    <row r="16" spans="2:10" x14ac:dyDescent="0.25">
      <c r="C16" s="11"/>
      <c r="D16" s="11" t="s">
        <v>38</v>
      </c>
      <c r="E16" s="11" t="s">
        <v>39</v>
      </c>
      <c r="F16" s="11"/>
      <c r="G16" s="11"/>
      <c r="H16" s="11"/>
      <c r="I16" s="11"/>
      <c r="J16" s="11"/>
    </row>
    <row r="17" spans="2:10" x14ac:dyDescent="0.25">
      <c r="C17" s="11"/>
      <c r="D17" s="11" t="s">
        <v>40</v>
      </c>
      <c r="E17" s="11" t="s">
        <v>25</v>
      </c>
      <c r="F17" s="11"/>
      <c r="G17" s="11"/>
      <c r="H17" s="11"/>
      <c r="I17" s="11"/>
      <c r="J17" s="11"/>
    </row>
    <row r="19" spans="2:10" x14ac:dyDescent="0.25">
      <c r="B19" t="s">
        <v>41</v>
      </c>
      <c r="C19" s="12" t="s">
        <v>28</v>
      </c>
      <c r="D19" s="12" t="s">
        <v>44</v>
      </c>
      <c r="E19" s="12"/>
      <c r="F19" s="12">
        <v>1311</v>
      </c>
      <c r="G19" s="25" t="s">
        <v>85</v>
      </c>
      <c r="H19" s="12" t="s">
        <v>86</v>
      </c>
      <c r="I19" s="12" t="s">
        <v>112</v>
      </c>
      <c r="J19" s="21">
        <v>1291962</v>
      </c>
    </row>
    <row r="20" spans="2:10" x14ac:dyDescent="0.25">
      <c r="C20" s="12"/>
      <c r="D20" s="12" t="s">
        <v>42</v>
      </c>
      <c r="E20" s="12"/>
      <c r="F20" s="12">
        <v>1311</v>
      </c>
      <c r="G20" s="25" t="s">
        <v>87</v>
      </c>
      <c r="H20" s="12" t="s">
        <v>88</v>
      </c>
      <c r="I20" s="12" t="s">
        <v>112</v>
      </c>
      <c r="J20" s="21">
        <v>1253383</v>
      </c>
    </row>
    <row r="21" spans="2:10" x14ac:dyDescent="0.25">
      <c r="C21" s="12"/>
      <c r="D21" s="12" t="s">
        <v>43</v>
      </c>
      <c r="E21" s="12"/>
      <c r="F21" s="12">
        <v>1543</v>
      </c>
      <c r="G21" s="25" t="s">
        <v>89</v>
      </c>
      <c r="H21" s="12" t="s">
        <v>90</v>
      </c>
      <c r="I21" s="12" t="s">
        <v>112</v>
      </c>
      <c r="J21" s="21">
        <v>1253259</v>
      </c>
    </row>
    <row r="22" spans="2:10" x14ac:dyDescent="0.25">
      <c r="C22" s="12"/>
      <c r="D22" s="12"/>
      <c r="E22" s="12"/>
      <c r="F22" s="12">
        <v>1543</v>
      </c>
      <c r="G22" s="26" t="s">
        <v>91</v>
      </c>
      <c r="H22" s="12" t="s">
        <v>92</v>
      </c>
      <c r="I22" s="12" t="s">
        <v>111</v>
      </c>
      <c r="J22" s="21">
        <v>1253676</v>
      </c>
    </row>
    <row r="23" spans="2:10" x14ac:dyDescent="0.25">
      <c r="C23" s="12"/>
      <c r="D23" s="12" t="s">
        <v>45</v>
      </c>
      <c r="E23" s="12"/>
      <c r="F23" s="12">
        <v>1543</v>
      </c>
      <c r="G23" s="25" t="s">
        <v>93</v>
      </c>
      <c r="H23" s="12" t="s">
        <v>94</v>
      </c>
      <c r="I23" s="12" t="s">
        <v>111</v>
      </c>
      <c r="J23" s="21">
        <v>1282553</v>
      </c>
    </row>
    <row r="24" spans="2:10" x14ac:dyDescent="0.25">
      <c r="C24" s="12"/>
      <c r="D24" s="12" t="s">
        <v>46</v>
      </c>
      <c r="E24" s="12">
        <v>612000</v>
      </c>
      <c r="F24" s="12">
        <v>1543</v>
      </c>
      <c r="G24" s="25" t="s">
        <v>95</v>
      </c>
      <c r="H24" s="12" t="s">
        <v>96</v>
      </c>
      <c r="I24" s="12" t="s">
        <v>111</v>
      </c>
      <c r="J24" s="21">
        <v>1283267</v>
      </c>
    </row>
    <row r="25" spans="2:10" x14ac:dyDescent="0.25">
      <c r="C25" s="12"/>
      <c r="D25" s="12" t="s">
        <v>47</v>
      </c>
      <c r="E25" s="12">
        <v>306000</v>
      </c>
      <c r="F25" s="12">
        <v>1543</v>
      </c>
      <c r="G25" s="25" t="s">
        <v>97</v>
      </c>
      <c r="H25" s="12" t="s">
        <v>98</v>
      </c>
      <c r="I25" s="12" t="s">
        <v>111</v>
      </c>
      <c r="J25" s="21">
        <v>1286025</v>
      </c>
    </row>
    <row r="26" spans="2:10" x14ac:dyDescent="0.25">
      <c r="C26" s="12"/>
      <c r="D26" s="12" t="s">
        <v>48</v>
      </c>
      <c r="E26" s="12">
        <v>61200</v>
      </c>
      <c r="F26" s="12">
        <v>1543</v>
      </c>
      <c r="G26" s="25" t="s">
        <v>99</v>
      </c>
      <c r="H26" s="12" t="s">
        <v>100</v>
      </c>
      <c r="I26" s="12" t="s">
        <v>111</v>
      </c>
      <c r="J26" s="21">
        <v>1281025</v>
      </c>
    </row>
    <row r="27" spans="2:10" x14ac:dyDescent="0.25">
      <c r="C27" s="12"/>
      <c r="D27" s="12" t="s">
        <v>49</v>
      </c>
      <c r="E27" s="12">
        <v>40800</v>
      </c>
      <c r="F27" s="12">
        <v>1543</v>
      </c>
      <c r="G27" s="25" t="s">
        <v>101</v>
      </c>
      <c r="H27" s="12" t="s">
        <v>102</v>
      </c>
      <c r="I27" s="12" t="s">
        <v>111</v>
      </c>
      <c r="J27" s="21">
        <v>1279445</v>
      </c>
    </row>
    <row r="28" spans="2:10" x14ac:dyDescent="0.25">
      <c r="C28" s="12"/>
      <c r="D28" s="12" t="s">
        <v>50</v>
      </c>
      <c r="E28" s="12">
        <v>102000</v>
      </c>
      <c r="F28" s="12">
        <v>1543</v>
      </c>
      <c r="G28" s="25" t="s">
        <v>103</v>
      </c>
      <c r="H28" s="12" t="s">
        <v>104</v>
      </c>
      <c r="I28" s="12" t="s">
        <v>111</v>
      </c>
      <c r="J28" s="21">
        <v>1292789</v>
      </c>
    </row>
    <row r="29" spans="2:10" x14ac:dyDescent="0.25">
      <c r="C29" s="12"/>
      <c r="D29" s="12" t="s">
        <v>51</v>
      </c>
      <c r="E29" s="12">
        <v>28050</v>
      </c>
      <c r="F29" s="12">
        <v>1543</v>
      </c>
      <c r="G29" s="12" t="s">
        <v>105</v>
      </c>
      <c r="H29" s="12" t="s">
        <v>106</v>
      </c>
      <c r="I29" s="12" t="s">
        <v>111</v>
      </c>
      <c r="J29" s="21">
        <v>1262294</v>
      </c>
    </row>
    <row r="30" spans="2:10" x14ac:dyDescent="0.25">
      <c r="C30" s="12"/>
      <c r="D30" s="12"/>
      <c r="E30" s="12"/>
      <c r="F30" s="12">
        <v>1543</v>
      </c>
      <c r="G30" s="12" t="s">
        <v>107</v>
      </c>
      <c r="H30" s="12" t="s">
        <v>108</v>
      </c>
      <c r="I30" s="12" t="s">
        <v>109</v>
      </c>
      <c r="J30" s="21">
        <v>1254674</v>
      </c>
    </row>
    <row r="31" spans="2:10" x14ac:dyDescent="0.25">
      <c r="C31" s="12"/>
      <c r="D31" s="12"/>
      <c r="E31" s="20">
        <f>SUM(E24:E29)</f>
        <v>1150050</v>
      </c>
      <c r="F31" s="20">
        <f>SUM(F19:F30)</f>
        <v>18052</v>
      </c>
      <c r="G31" s="20" t="s">
        <v>84</v>
      </c>
      <c r="H31" s="20"/>
      <c r="I31" s="20"/>
      <c r="J31" s="12" t="s">
        <v>52</v>
      </c>
    </row>
    <row r="33" spans="2:10" x14ac:dyDescent="0.25">
      <c r="C33" s="13" t="s">
        <v>53</v>
      </c>
      <c r="D33" s="13"/>
      <c r="E33" s="13"/>
      <c r="F33" s="13"/>
      <c r="G33" s="13"/>
      <c r="H33" s="13"/>
      <c r="I33" s="13"/>
      <c r="J33" s="13"/>
    </row>
    <row r="34" spans="2:10" x14ac:dyDescent="0.25">
      <c r="C34" s="13" t="s">
        <v>56</v>
      </c>
      <c r="D34" s="13" t="s">
        <v>55</v>
      </c>
      <c r="E34" s="13" t="s">
        <v>62</v>
      </c>
      <c r="F34" s="13" t="s">
        <v>61</v>
      </c>
      <c r="G34" s="13" t="s">
        <v>60</v>
      </c>
      <c r="H34" s="13" t="s">
        <v>59</v>
      </c>
      <c r="I34" s="13" t="s">
        <v>58</v>
      </c>
      <c r="J34" s="13"/>
    </row>
    <row r="35" spans="2:10" x14ac:dyDescent="0.25">
      <c r="C35" s="13" t="s">
        <v>57</v>
      </c>
      <c r="D35" s="13" t="s">
        <v>54</v>
      </c>
      <c r="E35" s="14" t="s">
        <v>9</v>
      </c>
      <c r="F35" s="13">
        <v>381</v>
      </c>
      <c r="G35" s="13">
        <v>0</v>
      </c>
      <c r="H35" s="13">
        <v>50</v>
      </c>
      <c r="I35" s="13">
        <v>87230</v>
      </c>
      <c r="J35" s="13"/>
    </row>
    <row r="36" spans="2:10" x14ac:dyDescent="0.25">
      <c r="C36" s="13"/>
      <c r="D36" s="13" t="s">
        <v>64</v>
      </c>
      <c r="E36" s="14" t="s">
        <v>0</v>
      </c>
      <c r="F36" s="13">
        <v>10139</v>
      </c>
      <c r="G36" s="13">
        <v>0</v>
      </c>
      <c r="H36" s="13">
        <v>1014</v>
      </c>
      <c r="I36" s="13">
        <v>109125</v>
      </c>
      <c r="J36" s="13"/>
    </row>
    <row r="37" spans="2:10" x14ac:dyDescent="0.25">
      <c r="C37" s="13"/>
      <c r="D37" s="13"/>
      <c r="E37" s="14"/>
      <c r="F37" s="13"/>
      <c r="G37" s="13"/>
      <c r="H37" s="13"/>
      <c r="I37" s="13"/>
      <c r="J37" s="13"/>
    </row>
    <row r="38" spans="2:10" x14ac:dyDescent="0.25">
      <c r="C38" s="13" t="s">
        <v>63</v>
      </c>
      <c r="D38" s="13" t="s">
        <v>54</v>
      </c>
      <c r="E38" s="14" t="s">
        <v>19</v>
      </c>
      <c r="F38" s="13">
        <v>156</v>
      </c>
      <c r="G38" s="13">
        <v>0</v>
      </c>
      <c r="H38" s="13">
        <v>22</v>
      </c>
      <c r="I38" s="13">
        <v>33879</v>
      </c>
      <c r="J38" s="13"/>
    </row>
    <row r="39" spans="2:10" x14ac:dyDescent="0.25">
      <c r="C39" s="13"/>
      <c r="D39" s="28" t="s">
        <v>64</v>
      </c>
      <c r="E39" s="27" t="s">
        <v>16</v>
      </c>
      <c r="F39" s="28">
        <v>10250</v>
      </c>
      <c r="G39" s="28">
        <v>0</v>
      </c>
      <c r="H39" s="28">
        <v>1281</v>
      </c>
      <c r="I39" s="28">
        <v>100000</v>
      </c>
      <c r="J39" s="13"/>
    </row>
    <row r="40" spans="2:10" x14ac:dyDescent="0.25">
      <c r="C40" s="13"/>
      <c r="D40" s="13"/>
      <c r="E40" s="13"/>
      <c r="F40" s="13"/>
      <c r="G40" s="13"/>
      <c r="H40" s="13"/>
      <c r="I40" s="13"/>
      <c r="J40" s="13"/>
    </row>
    <row r="41" spans="2:10" x14ac:dyDescent="0.25">
      <c r="E41" s="20" t="s">
        <v>116</v>
      </c>
      <c r="F41" s="20">
        <f>SUM(F35:F40)</f>
        <v>20926</v>
      </c>
      <c r="G41" s="12"/>
      <c r="H41" s="20">
        <f>SUM(H35:H40)</f>
        <v>2367</v>
      </c>
      <c r="I41" s="20">
        <f>SUM(I35:I40)</f>
        <v>330234</v>
      </c>
    </row>
    <row r="42" spans="2:10" x14ac:dyDescent="0.25">
      <c r="E42" s="20" t="s">
        <v>131</v>
      </c>
      <c r="F42" s="20"/>
      <c r="G42" s="12"/>
      <c r="H42" s="20">
        <f>H41+F31</f>
        <v>20419</v>
      </c>
      <c r="I42" s="20"/>
    </row>
    <row r="44" spans="2:10" ht="30" x14ac:dyDescent="0.25">
      <c r="C44" s="15" t="s">
        <v>65</v>
      </c>
      <c r="D44" s="15" t="s">
        <v>110</v>
      </c>
      <c r="E44" s="16"/>
      <c r="F44" s="17">
        <v>13212.97</v>
      </c>
      <c r="G44" s="16"/>
      <c r="H44" s="16"/>
      <c r="I44" s="16"/>
      <c r="J44" s="16"/>
    </row>
    <row r="46" spans="2:10" x14ac:dyDescent="0.25">
      <c r="B46" t="s">
        <v>130</v>
      </c>
      <c r="C46" s="18" t="s">
        <v>66</v>
      </c>
      <c r="D46" s="18"/>
      <c r="E46" s="18"/>
      <c r="F46" s="18"/>
      <c r="G46" s="18"/>
      <c r="H46" s="18"/>
      <c r="I46" s="18"/>
      <c r="J46" s="18"/>
    </row>
    <row r="47" spans="2:10" x14ac:dyDescent="0.25">
      <c r="C47" s="18"/>
      <c r="D47" s="18" t="s">
        <v>62</v>
      </c>
      <c r="E47" s="18" t="s">
        <v>67</v>
      </c>
      <c r="F47" s="18"/>
      <c r="G47" s="18"/>
      <c r="H47" s="18"/>
      <c r="I47" s="18"/>
      <c r="J47" s="18"/>
    </row>
    <row r="48" spans="2:10" x14ac:dyDescent="0.25">
      <c r="C48" s="18" t="s">
        <v>10</v>
      </c>
      <c r="D48" s="19" t="s">
        <v>12</v>
      </c>
      <c r="E48" s="18">
        <v>40000</v>
      </c>
      <c r="F48" s="18"/>
      <c r="G48" s="18"/>
      <c r="H48" s="18"/>
      <c r="I48" s="18"/>
      <c r="J48" s="18"/>
    </row>
    <row r="49" spans="2:10" x14ac:dyDescent="0.25">
      <c r="C49" s="18"/>
      <c r="D49" s="18"/>
      <c r="E49" s="18"/>
      <c r="F49" s="18"/>
      <c r="G49" s="18"/>
      <c r="H49" s="18"/>
      <c r="I49" s="18"/>
      <c r="J49" s="18"/>
    </row>
    <row r="50" spans="2:10" x14ac:dyDescent="0.25">
      <c r="C50" s="18" t="s">
        <v>68</v>
      </c>
      <c r="D50" s="18"/>
      <c r="E50" s="18"/>
      <c r="F50" s="18"/>
      <c r="G50" s="18"/>
      <c r="H50" s="18"/>
      <c r="I50" s="18"/>
      <c r="J50" s="18"/>
    </row>
    <row r="51" spans="2:10" x14ac:dyDescent="0.25">
      <c r="C51" s="18"/>
      <c r="D51" s="18" t="s">
        <v>70</v>
      </c>
      <c r="E51" s="18" t="s">
        <v>71</v>
      </c>
      <c r="F51" s="18"/>
      <c r="G51" s="18"/>
      <c r="H51" s="18"/>
      <c r="I51" s="18"/>
      <c r="J51" s="18"/>
    </row>
    <row r="52" spans="2:10" x14ac:dyDescent="0.25">
      <c r="C52" s="18" t="s">
        <v>69</v>
      </c>
      <c r="D52" s="18">
        <v>28050</v>
      </c>
      <c r="E52" s="18">
        <v>28050</v>
      </c>
      <c r="F52" s="18"/>
      <c r="G52" s="18"/>
      <c r="H52" s="18"/>
      <c r="I52" s="18"/>
      <c r="J52" s="18"/>
    </row>
    <row r="54" spans="2:10" x14ac:dyDescent="0.25">
      <c r="B54" t="s">
        <v>72</v>
      </c>
      <c r="C54" s="9"/>
      <c r="D54" s="9"/>
      <c r="E54" s="9" t="s">
        <v>80</v>
      </c>
      <c r="F54" s="9" t="s">
        <v>81</v>
      </c>
      <c r="G54" s="9" t="s">
        <v>82</v>
      </c>
      <c r="H54" s="9" t="s">
        <v>83</v>
      </c>
      <c r="I54" s="9"/>
      <c r="J54" s="9"/>
    </row>
    <row r="55" spans="2:10" x14ac:dyDescent="0.25">
      <c r="C55" s="9" t="s">
        <v>73</v>
      </c>
      <c r="D55" s="9"/>
      <c r="E55" s="9">
        <f>F55/12</f>
        <v>12000</v>
      </c>
      <c r="F55" s="9">
        <v>144000</v>
      </c>
      <c r="G55" s="9">
        <v>13050</v>
      </c>
      <c r="H55" s="9">
        <f>G55*12</f>
        <v>156600</v>
      </c>
      <c r="I55" s="9"/>
      <c r="J55" s="9"/>
    </row>
    <row r="56" spans="2:10" x14ac:dyDescent="0.25">
      <c r="C56" s="9" t="s">
        <v>74</v>
      </c>
      <c r="D56" s="9"/>
      <c r="E56" s="9">
        <f t="shared" ref="E56:E60" si="0">F56/12</f>
        <v>6500</v>
      </c>
      <c r="F56" s="9">
        <v>78000</v>
      </c>
      <c r="G56" s="9">
        <v>6500</v>
      </c>
      <c r="H56" s="9">
        <f t="shared" ref="H56:H60" si="1">G56*12</f>
        <v>78000</v>
      </c>
      <c r="I56" s="9"/>
      <c r="J56" s="9"/>
    </row>
    <row r="57" spans="2:10" x14ac:dyDescent="0.25">
      <c r="C57" s="9" t="s">
        <v>75</v>
      </c>
      <c r="D57" s="9"/>
      <c r="E57" s="9">
        <f t="shared" si="0"/>
        <v>725</v>
      </c>
      <c r="F57" s="9">
        <v>8700</v>
      </c>
      <c r="G57" s="9">
        <v>800</v>
      </c>
      <c r="H57" s="9">
        <f t="shared" si="1"/>
        <v>9600</v>
      </c>
      <c r="I57" s="9"/>
      <c r="J57" s="9"/>
    </row>
    <row r="58" spans="2:10" x14ac:dyDescent="0.25">
      <c r="C58" s="9" t="s">
        <v>76</v>
      </c>
      <c r="D58" s="9"/>
      <c r="E58" s="9">
        <f t="shared" si="0"/>
        <v>1180</v>
      </c>
      <c r="F58" s="9">
        <v>14160</v>
      </c>
      <c r="G58" s="9">
        <v>1180</v>
      </c>
      <c r="H58" s="9">
        <f t="shared" si="1"/>
        <v>14160</v>
      </c>
      <c r="I58" s="9"/>
      <c r="J58" s="9"/>
    </row>
    <row r="59" spans="2:10" x14ac:dyDescent="0.25">
      <c r="C59" s="9" t="s">
        <v>77</v>
      </c>
      <c r="D59" s="9"/>
      <c r="E59" s="9">
        <f t="shared" si="0"/>
        <v>600</v>
      </c>
      <c r="F59" s="9">
        <v>7200</v>
      </c>
      <c r="G59" s="9">
        <v>630</v>
      </c>
      <c r="H59" s="9">
        <f t="shared" si="1"/>
        <v>7560</v>
      </c>
      <c r="I59" s="9"/>
      <c r="J59" s="9"/>
    </row>
    <row r="60" spans="2:10" x14ac:dyDescent="0.25">
      <c r="C60" s="9" t="s">
        <v>78</v>
      </c>
      <c r="D60" s="9"/>
      <c r="E60" s="9">
        <f t="shared" si="0"/>
        <v>1250</v>
      </c>
      <c r="F60" s="9">
        <v>15000</v>
      </c>
      <c r="G60" s="9">
        <v>1300</v>
      </c>
      <c r="H60" s="9">
        <f t="shared" si="1"/>
        <v>15600</v>
      </c>
      <c r="I60" s="9"/>
      <c r="J60" s="9"/>
    </row>
    <row r="61" spans="2:10" x14ac:dyDescent="0.25">
      <c r="C61" s="9"/>
      <c r="D61" s="9"/>
      <c r="E61" s="9"/>
      <c r="F61" s="9"/>
      <c r="G61" s="9"/>
      <c r="H61" s="9"/>
      <c r="I61" s="9"/>
      <c r="J61" s="9"/>
    </row>
    <row r="62" spans="2:10" x14ac:dyDescent="0.25">
      <c r="C62" s="9" t="s">
        <v>79</v>
      </c>
      <c r="D62" s="9"/>
      <c r="E62" s="9"/>
      <c r="F62" s="9">
        <v>6698</v>
      </c>
      <c r="G62" s="9"/>
      <c r="H62" s="9">
        <f>H42</f>
        <v>20419</v>
      </c>
      <c r="I62" s="9"/>
      <c r="J62" s="9"/>
    </row>
    <row r="63" spans="2:10" x14ac:dyDescent="0.25">
      <c r="C63" s="9"/>
      <c r="D63" s="9"/>
      <c r="E63" s="9"/>
      <c r="F63" s="20">
        <f>SUM(F55:F62)</f>
        <v>273758</v>
      </c>
      <c r="G63" s="20" t="s">
        <v>84</v>
      </c>
      <c r="H63" s="20">
        <f>SUM(H55:H62)</f>
        <v>301939</v>
      </c>
      <c r="I63" s="9"/>
      <c r="J63" s="9"/>
    </row>
    <row r="66" spans="2:10" x14ac:dyDescent="0.25">
      <c r="B66" t="s">
        <v>129</v>
      </c>
      <c r="C66" s="14" t="s">
        <v>113</v>
      </c>
      <c r="D66" s="13" t="s">
        <v>115</v>
      </c>
      <c r="E66" s="23">
        <v>47150</v>
      </c>
      <c r="F66" s="23">
        <v>46054</v>
      </c>
      <c r="G66" s="13">
        <v>3000</v>
      </c>
      <c r="H66" s="13"/>
      <c r="I66" s="13"/>
      <c r="J66" s="13"/>
    </row>
    <row r="67" spans="2:10" x14ac:dyDescent="0.25">
      <c r="C67" s="14" t="s">
        <v>125</v>
      </c>
      <c r="D67" s="13" t="s">
        <v>123</v>
      </c>
      <c r="E67" s="23">
        <v>46054</v>
      </c>
      <c r="F67" s="23">
        <v>46082</v>
      </c>
      <c r="G67" s="13">
        <v>3000</v>
      </c>
      <c r="H67" s="13">
        <v>24.38</v>
      </c>
      <c r="I67" s="13"/>
      <c r="J67" s="13"/>
    </row>
    <row r="68" spans="2:10" x14ac:dyDescent="0.25">
      <c r="C68" s="14"/>
      <c r="D68" s="13"/>
      <c r="E68" s="23"/>
      <c r="F68" s="23">
        <v>46113</v>
      </c>
      <c r="G68" s="13">
        <v>3000</v>
      </c>
      <c r="H68" s="13">
        <v>48.95</v>
      </c>
      <c r="I68" s="13"/>
      <c r="J68" s="13"/>
    </row>
    <row r="69" spans="2:10" x14ac:dyDescent="0.25">
      <c r="C69" s="14"/>
      <c r="D69" s="13"/>
      <c r="E69" s="23"/>
      <c r="F69" s="23">
        <v>46144</v>
      </c>
      <c r="G69" s="13">
        <v>3000</v>
      </c>
      <c r="H69" s="13">
        <v>73.72</v>
      </c>
      <c r="I69" s="13"/>
      <c r="J69" s="13"/>
    </row>
    <row r="70" spans="2:10" x14ac:dyDescent="0.25">
      <c r="C70" s="14"/>
      <c r="D70" s="13"/>
      <c r="E70" s="23"/>
      <c r="F70" s="23">
        <v>46174</v>
      </c>
      <c r="G70" s="13">
        <v>3000</v>
      </c>
      <c r="H70" s="13">
        <v>98.69</v>
      </c>
      <c r="I70" s="13"/>
      <c r="J70" s="13"/>
    </row>
    <row r="71" spans="2:10" x14ac:dyDescent="0.25">
      <c r="C71" s="14"/>
      <c r="D71" s="13"/>
      <c r="E71" s="23"/>
      <c r="F71" s="24" t="s">
        <v>116</v>
      </c>
      <c r="G71" s="24">
        <f>SUM(G66:G70)</f>
        <v>15000</v>
      </c>
      <c r="H71" s="24">
        <f>SUM(H66:H70)</f>
        <v>245.74</v>
      </c>
      <c r="I71" s="24">
        <f>G71+H71</f>
        <v>15245.74</v>
      </c>
      <c r="J71" s="25" t="s">
        <v>128</v>
      </c>
    </row>
    <row r="72" spans="2:10" x14ac:dyDescent="0.25">
      <c r="C72" s="14" t="s">
        <v>16</v>
      </c>
      <c r="D72" s="13" t="s">
        <v>115</v>
      </c>
      <c r="E72" s="23">
        <v>46510</v>
      </c>
      <c r="F72" s="23">
        <v>45964</v>
      </c>
      <c r="G72" s="13">
        <v>5125</v>
      </c>
      <c r="H72" s="13"/>
      <c r="I72" s="13" t="s">
        <v>117</v>
      </c>
      <c r="J72" s="13"/>
    </row>
    <row r="73" spans="2:10" x14ac:dyDescent="0.25">
      <c r="C73" s="14" t="s">
        <v>126</v>
      </c>
      <c r="D73" s="13" t="s">
        <v>123</v>
      </c>
      <c r="E73" s="23">
        <v>45780</v>
      </c>
      <c r="F73" s="13"/>
      <c r="G73" s="13"/>
      <c r="H73" s="13">
        <v>512.5</v>
      </c>
      <c r="I73" s="13" t="s">
        <v>118</v>
      </c>
      <c r="J73" s="13"/>
    </row>
    <row r="74" spans="2:10" x14ac:dyDescent="0.25">
      <c r="C74" s="14"/>
      <c r="D74" s="13"/>
      <c r="E74" s="23"/>
      <c r="F74" s="13"/>
      <c r="G74" s="13"/>
      <c r="H74" s="13">
        <v>4612.5</v>
      </c>
      <c r="I74" s="13" t="s">
        <v>119</v>
      </c>
      <c r="J74" s="13"/>
    </row>
    <row r="75" spans="2:10" x14ac:dyDescent="0.25">
      <c r="C75" s="14"/>
      <c r="D75" s="13"/>
      <c r="E75" s="23"/>
      <c r="F75" s="23">
        <v>46145</v>
      </c>
      <c r="G75" s="13">
        <v>5125</v>
      </c>
      <c r="H75" s="13"/>
      <c r="I75" s="13" t="s">
        <v>117</v>
      </c>
      <c r="J75" s="13"/>
    </row>
    <row r="76" spans="2:10" x14ac:dyDescent="0.25">
      <c r="C76" s="14"/>
      <c r="D76" s="13"/>
      <c r="E76" s="23"/>
      <c r="F76" s="13"/>
      <c r="G76" s="13"/>
      <c r="H76" s="13">
        <v>768.75</v>
      </c>
      <c r="I76" s="13" t="s">
        <v>118</v>
      </c>
      <c r="J76" s="13"/>
    </row>
    <row r="77" spans="2:10" x14ac:dyDescent="0.25">
      <c r="C77" s="14"/>
      <c r="D77" s="13"/>
      <c r="E77" s="23"/>
      <c r="F77" s="13"/>
      <c r="G77" s="13"/>
      <c r="H77" s="13">
        <v>4356.25</v>
      </c>
      <c r="I77" s="13" t="s">
        <v>120</v>
      </c>
      <c r="J77" s="13"/>
    </row>
    <row r="78" spans="2:10" x14ac:dyDescent="0.25">
      <c r="C78" s="14"/>
      <c r="D78" s="13"/>
      <c r="E78" s="23"/>
      <c r="F78" s="24" t="s">
        <v>116</v>
      </c>
      <c r="G78" s="24">
        <f>G72+G75</f>
        <v>10250</v>
      </c>
      <c r="H78" s="24">
        <f>H77+H74</f>
        <v>8968.75</v>
      </c>
      <c r="I78" s="24">
        <f>H76+H73</f>
        <v>1281.25</v>
      </c>
      <c r="J78" s="25" t="s">
        <v>127</v>
      </c>
    </row>
    <row r="79" spans="2:10" x14ac:dyDescent="0.25">
      <c r="C79" s="14"/>
      <c r="D79" s="13"/>
      <c r="E79" s="23"/>
      <c r="F79" s="23">
        <v>46145</v>
      </c>
      <c r="G79" s="13">
        <v>10000</v>
      </c>
      <c r="H79" s="13"/>
      <c r="I79" s="13" t="s">
        <v>121</v>
      </c>
      <c r="J79" s="13"/>
    </row>
    <row r="80" spans="2:10" x14ac:dyDescent="0.25">
      <c r="C80" s="14"/>
      <c r="D80" s="13"/>
      <c r="E80" s="23"/>
      <c r="F80" s="13"/>
      <c r="G80" s="13"/>
      <c r="H80" s="13">
        <v>10000</v>
      </c>
      <c r="I80" s="13" t="s">
        <v>121</v>
      </c>
      <c r="J80" s="13"/>
    </row>
    <row r="81" spans="3:10" x14ac:dyDescent="0.25">
      <c r="C81" s="14"/>
      <c r="D81" s="13"/>
      <c r="E81" s="23"/>
      <c r="F81" s="13"/>
      <c r="G81" s="13"/>
      <c r="H81" s="13"/>
      <c r="I81" s="13"/>
      <c r="J81" s="13"/>
    </row>
    <row r="82" spans="3:10" x14ac:dyDescent="0.25">
      <c r="C82" s="14" t="s">
        <v>114</v>
      </c>
      <c r="D82" s="13" t="s">
        <v>115</v>
      </c>
      <c r="E82" s="23">
        <v>47435</v>
      </c>
      <c r="F82" s="23">
        <v>45851</v>
      </c>
      <c r="G82" s="13">
        <v>5000</v>
      </c>
      <c r="H82" s="13">
        <v>341.74</v>
      </c>
      <c r="I82" s="13" t="s">
        <v>122</v>
      </c>
      <c r="J82" s="13"/>
    </row>
    <row r="83" spans="3:10" x14ac:dyDescent="0.25">
      <c r="C83" s="13" t="s">
        <v>124</v>
      </c>
      <c r="D83" s="13" t="s">
        <v>123</v>
      </c>
      <c r="E83" s="23">
        <v>45609</v>
      </c>
      <c r="F83" s="23">
        <v>45882</v>
      </c>
      <c r="G83" s="13">
        <v>5000</v>
      </c>
      <c r="H83" s="13">
        <v>387.72</v>
      </c>
      <c r="I83" s="13" t="s">
        <v>122</v>
      </c>
      <c r="J83" s="13"/>
    </row>
    <row r="84" spans="3:10" x14ac:dyDescent="0.25">
      <c r="C84" s="13"/>
      <c r="D84" s="13"/>
      <c r="E84" s="13"/>
      <c r="F84" s="23">
        <v>45913</v>
      </c>
      <c r="G84" s="13">
        <v>5000</v>
      </c>
      <c r="H84" s="13">
        <v>432.62</v>
      </c>
      <c r="I84" s="13" t="s">
        <v>122</v>
      </c>
      <c r="J84" s="13"/>
    </row>
    <row r="85" spans="3:10" x14ac:dyDescent="0.25">
      <c r="C85" s="13"/>
      <c r="D85" s="13"/>
      <c r="E85" s="13"/>
      <c r="F85" s="23">
        <v>45943</v>
      </c>
      <c r="G85" s="13">
        <v>5000</v>
      </c>
      <c r="H85" s="13">
        <v>477.89</v>
      </c>
      <c r="I85" s="13" t="s">
        <v>122</v>
      </c>
      <c r="J85" s="13"/>
    </row>
    <row r="86" spans="3:10" x14ac:dyDescent="0.25">
      <c r="C86" s="13"/>
      <c r="D86" s="13"/>
      <c r="E86" s="13"/>
      <c r="F86" s="23">
        <v>45974</v>
      </c>
      <c r="G86" s="13">
        <v>5000</v>
      </c>
      <c r="H86" s="13">
        <v>523.54</v>
      </c>
      <c r="I86" s="13" t="s">
        <v>122</v>
      </c>
      <c r="J86" s="13"/>
    </row>
    <row r="87" spans="3:10" x14ac:dyDescent="0.25">
      <c r="C87" s="13"/>
      <c r="D87" s="13"/>
      <c r="E87" s="13"/>
      <c r="F87" s="23">
        <v>46004</v>
      </c>
      <c r="G87" s="13">
        <v>5000</v>
      </c>
      <c r="H87" s="13">
        <v>569.57000000000005</v>
      </c>
      <c r="I87" s="13" t="s">
        <v>122</v>
      </c>
      <c r="J87" s="13"/>
    </row>
    <row r="88" spans="3:10" x14ac:dyDescent="0.25">
      <c r="C88" s="13"/>
      <c r="D88" s="13"/>
      <c r="E88" s="13"/>
      <c r="F88" s="23">
        <v>46035</v>
      </c>
      <c r="G88" s="13">
        <v>5000</v>
      </c>
      <c r="H88" s="13">
        <v>615.98</v>
      </c>
      <c r="I88" s="13" t="s">
        <v>122</v>
      </c>
      <c r="J88" s="13"/>
    </row>
    <row r="89" spans="3:10" x14ac:dyDescent="0.25">
      <c r="C89" s="13"/>
      <c r="D89" s="13"/>
      <c r="E89" s="13"/>
      <c r="F89" s="23">
        <v>46067</v>
      </c>
      <c r="G89" s="13">
        <v>5000</v>
      </c>
      <c r="H89" s="13">
        <v>662.78</v>
      </c>
      <c r="I89" s="13" t="s">
        <v>122</v>
      </c>
      <c r="J89" s="13"/>
    </row>
    <row r="90" spans="3:10" x14ac:dyDescent="0.25">
      <c r="C90" s="13"/>
      <c r="D90" s="13"/>
      <c r="E90" s="13"/>
      <c r="F90" s="23">
        <v>46095</v>
      </c>
      <c r="G90" s="13">
        <v>5000</v>
      </c>
      <c r="H90" s="13">
        <v>709.97</v>
      </c>
      <c r="I90" s="13" t="s">
        <v>122</v>
      </c>
      <c r="J90" s="13"/>
    </row>
    <row r="91" spans="3:10" x14ac:dyDescent="0.25">
      <c r="C91" s="13"/>
      <c r="D91" s="13"/>
      <c r="E91" s="13"/>
      <c r="F91" s="23">
        <v>46125</v>
      </c>
      <c r="G91" s="13">
        <v>5000</v>
      </c>
      <c r="H91" s="13">
        <v>757.56</v>
      </c>
      <c r="I91" s="13" t="s">
        <v>122</v>
      </c>
      <c r="J91" s="13"/>
    </row>
    <row r="92" spans="3:10" x14ac:dyDescent="0.25">
      <c r="C92" s="13"/>
      <c r="D92" s="13"/>
      <c r="E92" s="13"/>
      <c r="F92" s="23">
        <v>46155</v>
      </c>
      <c r="G92" s="13">
        <v>5000</v>
      </c>
      <c r="H92" s="13">
        <v>805.54</v>
      </c>
      <c r="I92" s="13" t="s">
        <v>122</v>
      </c>
      <c r="J92" s="13"/>
    </row>
    <row r="93" spans="3:10" x14ac:dyDescent="0.25">
      <c r="C93" s="13"/>
      <c r="D93" s="13"/>
      <c r="E93" s="13"/>
      <c r="F93" s="23">
        <v>46186</v>
      </c>
      <c r="G93" s="13">
        <v>5000</v>
      </c>
      <c r="H93" s="13">
        <v>853.91</v>
      </c>
      <c r="I93" s="13" t="s">
        <v>122</v>
      </c>
      <c r="J93" s="13"/>
    </row>
    <row r="94" spans="3:10" x14ac:dyDescent="0.25">
      <c r="C94" s="13"/>
      <c r="D94" s="13"/>
      <c r="E94" s="13"/>
      <c r="F94" s="24" t="s">
        <v>84</v>
      </c>
      <c r="G94" s="24">
        <f>SUM(G82:G93)</f>
        <v>60000</v>
      </c>
      <c r="H94" s="24">
        <f>SUM(H82:H93)</f>
        <v>7138.8200000000006</v>
      </c>
      <c r="I94" s="24">
        <f>G94+H94</f>
        <v>67138.820000000007</v>
      </c>
      <c r="J94" s="25" t="s">
        <v>128</v>
      </c>
    </row>
    <row r="98" spans="4:9" x14ac:dyDescent="0.25">
      <c r="D98" t="s">
        <v>116</v>
      </c>
      <c r="E98">
        <f>E31</f>
        <v>1150050</v>
      </c>
    </row>
    <row r="99" spans="4:9" x14ac:dyDescent="0.25">
      <c r="D99" s="29" t="s">
        <v>138</v>
      </c>
      <c r="E99">
        <f>E98/3</f>
        <v>383350</v>
      </c>
    </row>
    <row r="100" spans="4:9" x14ac:dyDescent="0.25">
      <c r="D100" t="s">
        <v>139</v>
      </c>
      <c r="E100">
        <f>E98-E99</f>
        <v>766700</v>
      </c>
      <c r="G100">
        <f>SUM(G102:G104)</f>
        <v>787626</v>
      </c>
    </row>
    <row r="101" spans="4:9" x14ac:dyDescent="0.25">
      <c r="D101" t="s">
        <v>140</v>
      </c>
      <c r="E101">
        <f>E100*0.1</f>
        <v>76670</v>
      </c>
    </row>
    <row r="102" spans="4:9" x14ac:dyDescent="0.25">
      <c r="F102" t="s">
        <v>141</v>
      </c>
      <c r="G102">
        <v>400000</v>
      </c>
    </row>
    <row r="103" spans="4:9" x14ac:dyDescent="0.25">
      <c r="F103" t="s">
        <v>142</v>
      </c>
      <c r="G103">
        <v>300000</v>
      </c>
      <c r="H103">
        <f>G103*0.1</f>
        <v>30000</v>
      </c>
    </row>
    <row r="104" spans="4:9" x14ac:dyDescent="0.25">
      <c r="F104" t="s">
        <v>143</v>
      </c>
      <c r="G104">
        <f>E100-(G102+G103) + 20926</f>
        <v>87626</v>
      </c>
      <c r="H104">
        <f>G104*0.15</f>
        <v>13143.9</v>
      </c>
    </row>
    <row r="105" spans="4:9" x14ac:dyDescent="0.25">
      <c r="H105">
        <f>H103+H104</f>
        <v>43143.9</v>
      </c>
      <c r="I105" t="s">
        <v>144</v>
      </c>
    </row>
    <row r="106" spans="4:9" x14ac:dyDescent="0.25">
      <c r="D106" t="s">
        <v>132</v>
      </c>
      <c r="E106">
        <v>2137063</v>
      </c>
      <c r="H106">
        <v>17110</v>
      </c>
      <c r="I106" t="s">
        <v>145</v>
      </c>
    </row>
    <row r="107" spans="4:9" x14ac:dyDescent="0.25">
      <c r="D107" t="s">
        <v>133</v>
      </c>
      <c r="E107">
        <v>1268026</v>
      </c>
      <c r="H107">
        <f>H105-H106</f>
        <v>26033.9</v>
      </c>
      <c r="I107" t="s">
        <v>146</v>
      </c>
    </row>
    <row r="108" spans="4:9" x14ac:dyDescent="0.25">
      <c r="D108" t="s">
        <v>134</v>
      </c>
      <c r="E108">
        <f>E106-E107</f>
        <v>869037</v>
      </c>
      <c r="H108">
        <v>18052</v>
      </c>
      <c r="I108" t="s">
        <v>147</v>
      </c>
    </row>
    <row r="109" spans="4:9" x14ac:dyDescent="0.25">
      <c r="H109">
        <v>2367</v>
      </c>
      <c r="I109" t="s">
        <v>148</v>
      </c>
    </row>
    <row r="110" spans="4:9" x14ac:dyDescent="0.25">
      <c r="D110" t="s">
        <v>135</v>
      </c>
      <c r="E110">
        <v>301939</v>
      </c>
      <c r="H110">
        <v>281</v>
      </c>
      <c r="I110" t="s">
        <v>149</v>
      </c>
    </row>
    <row r="111" spans="4:9" x14ac:dyDescent="0.25">
      <c r="D111" t="s">
        <v>136</v>
      </c>
      <c r="E111">
        <f>E108+E110</f>
        <v>1170976</v>
      </c>
      <c r="H111">
        <f>H107-(H108+H109+H110)</f>
        <v>5333.9000000000015</v>
      </c>
      <c r="I111" t="s">
        <v>150</v>
      </c>
    </row>
    <row r="112" spans="4:9" x14ac:dyDescent="0.25">
      <c r="D112" t="s">
        <v>137</v>
      </c>
      <c r="E112">
        <v>1170976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 - Ibne Kayesh</dc:creator>
  <cp:lastModifiedBy>IT - Ibne Kayesh</cp:lastModifiedBy>
  <dcterms:created xsi:type="dcterms:W3CDTF">2026-09-19T08:19:32Z</dcterms:created>
  <dcterms:modified xsi:type="dcterms:W3CDTF">2026-09-20T10:24:30Z</dcterms:modified>
</cp:coreProperties>
</file>