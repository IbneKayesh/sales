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yesh\Desktop\Tax 26\"/>
    </mc:Choice>
  </mc:AlternateContent>
  <xr:revisionPtr revIDLastSave="0" documentId="10_ncr:0_{E2AFE761-6324-4D90-B944-C95B49B8C688}" xr6:coauthVersionLast="36" xr6:coauthVersionMax="36" xr10:uidLastSave="{00000000-0000-0000-0000-000000000000}"/>
  <bookViews>
    <workbookView xWindow="0" yWindow="0" windowWidth="28800" windowHeight="12105" activeTab="1" xr2:uid="{5532516C-4457-4313-89DF-0CE26A5B2D3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1" i="2" l="1"/>
  <c r="H62" i="2"/>
  <c r="E31" i="2"/>
  <c r="H59" i="2"/>
  <c r="D59" i="2" s="1"/>
  <c r="H58" i="2"/>
  <c r="D58" i="2" s="1"/>
  <c r="H57" i="2"/>
  <c r="D57" i="2" s="1"/>
  <c r="H56" i="2"/>
  <c r="D56" i="2" s="1"/>
  <c r="H55" i="2"/>
  <c r="D55" i="2" s="1"/>
  <c r="H54" i="2"/>
  <c r="D54" i="2" s="1"/>
  <c r="E59" i="2"/>
  <c r="E58" i="2"/>
  <c r="E57" i="2"/>
  <c r="E56" i="2"/>
  <c r="E55" i="2"/>
  <c r="E54" i="2"/>
  <c r="F25" i="1"/>
  <c r="J27" i="1"/>
  <c r="G27" i="1"/>
  <c r="F27" i="1"/>
  <c r="H3" i="1"/>
  <c r="H4" i="1"/>
</calcChain>
</file>

<file path=xl/sharedStrings.xml><?xml version="1.0" encoding="utf-8"?>
<sst xmlns="http://schemas.openxmlformats.org/spreadsheetml/2006/main" count="147" uniqueCount="114">
  <si>
    <t>3021256950007</t>
  </si>
  <si>
    <t>Interset</t>
  </si>
  <si>
    <t>tax</t>
  </si>
  <si>
    <t>net</t>
  </si>
  <si>
    <t>end balance</t>
  </si>
  <si>
    <t>FDR 1</t>
  </si>
  <si>
    <t>FDR 2</t>
  </si>
  <si>
    <t>3021256950009</t>
  </si>
  <si>
    <t>Accounts</t>
  </si>
  <si>
    <t>1021256950001</t>
  </si>
  <si>
    <t>Brac</t>
  </si>
  <si>
    <t>DPS</t>
  </si>
  <si>
    <t>3021256950008</t>
  </si>
  <si>
    <t>113EINC252440816</t>
  </si>
  <si>
    <t xml:space="preserve"> ENVATO PTY LTD</t>
  </si>
  <si>
    <t>113RES1BDT000001</t>
  </si>
  <si>
    <t>1133429000000122</t>
  </si>
  <si>
    <t>113RSCOBDT000001</t>
  </si>
  <si>
    <t>113RSCOBDT000002</t>
  </si>
  <si>
    <t>1133204000099223</t>
  </si>
  <si>
    <t>Page 1</t>
  </si>
  <si>
    <t>Assessment Year</t>
  </si>
  <si>
    <t>2026-2027</t>
  </si>
  <si>
    <t>Income Year</t>
  </si>
  <si>
    <t>Tax Exempted Income</t>
  </si>
  <si>
    <t>Yes</t>
  </si>
  <si>
    <t>Envato</t>
  </si>
  <si>
    <t>Any taxable income in the income year?</t>
  </si>
  <si>
    <t>Income from Employment</t>
  </si>
  <si>
    <t>Salary</t>
  </si>
  <si>
    <t>Income from Financial Assets</t>
  </si>
  <si>
    <t>Savings BI/FDR/DPS</t>
  </si>
  <si>
    <t>Page 2</t>
  </si>
  <si>
    <t>Location of Main Source of Income</t>
  </si>
  <si>
    <t>Dhaka North City Corporation</t>
  </si>
  <si>
    <t>Claim tax rebate for investment?</t>
  </si>
  <si>
    <t>Savings DPS/RPF</t>
  </si>
  <si>
    <t>IT10B Requirements</t>
  </si>
  <si>
    <t>Gross Wealth over 50,00,000?</t>
  </si>
  <si>
    <t>No</t>
  </si>
  <si>
    <t>IT10B may not be mandatory. Still want to submit?</t>
  </si>
  <si>
    <t>Page 3</t>
  </si>
  <si>
    <t>City Sugar Industries Limited</t>
  </si>
  <si>
    <t>Assistant Manager</t>
  </si>
  <si>
    <t>Private/Other than Government Pay Scale</t>
  </si>
  <si>
    <t>Particulars</t>
  </si>
  <si>
    <t>Basic Salary</t>
  </si>
  <si>
    <t>House Rent Allowance</t>
  </si>
  <si>
    <t>Medical Allowance</t>
  </si>
  <si>
    <t>Conveyance Allowance</t>
  </si>
  <si>
    <t>Festival Bonus</t>
  </si>
  <si>
    <t>Employer’s Contribution to RPF</t>
  </si>
  <si>
    <t>From Salary Statement</t>
  </si>
  <si>
    <t>Interest/Profit (Bank/FI)</t>
  </si>
  <si>
    <t>Savings</t>
  </si>
  <si>
    <t>Type</t>
  </si>
  <si>
    <t>Bank</t>
  </si>
  <si>
    <t>Brac Bank PLC - North Gulshan Branch</t>
  </si>
  <si>
    <t>Year End Balance</t>
  </si>
  <si>
    <t>TDS</t>
  </si>
  <si>
    <t>Charge</t>
  </si>
  <si>
    <t>Gross I/Profit</t>
  </si>
  <si>
    <t>Account No</t>
  </si>
  <si>
    <t>UCB PLC - Pragati Sarani Branch</t>
  </si>
  <si>
    <t>FDR</t>
  </si>
  <si>
    <t>ENVATO PTY LTD</t>
  </si>
  <si>
    <t>Page 4</t>
  </si>
  <si>
    <t xml:space="preserve">Deposit Pension Scheme (DPS) </t>
  </si>
  <si>
    <t>Deposit Amount</t>
  </si>
  <si>
    <t xml:space="preserve">Recognized Provident Fund (RPF) </t>
  </si>
  <si>
    <t>CITY SUGAR INDUSTRIES LIMITED</t>
  </si>
  <si>
    <t>Self</t>
  </si>
  <si>
    <t>Employer</t>
  </si>
  <si>
    <t>Page 5</t>
  </si>
  <si>
    <t>Expenses for Food, Clothing and Other Essentials</t>
  </si>
  <si>
    <t>Accommodation Expense</t>
  </si>
  <si>
    <t>Electricity</t>
  </si>
  <si>
    <t>Gas, Water, Sewer and Garbage</t>
  </si>
  <si>
    <t>Phone, Internet, TV channels and Subscription</t>
  </si>
  <si>
    <t>Festival, Party, Events</t>
  </si>
  <si>
    <t>Payment of Tax at Source &amp; Advance Tax.</t>
  </si>
  <si>
    <t>Prev. Per Month</t>
  </si>
  <si>
    <t>Prev. Total</t>
  </si>
  <si>
    <t>Curr. Per Month</t>
  </si>
  <si>
    <t>Curr. Total</t>
  </si>
  <si>
    <t>TOTAL</t>
  </si>
  <si>
    <t>2526-00047972211</t>
  </si>
  <si>
    <t>Date-28-08-2025</t>
  </si>
  <si>
    <t>2526-00090906041</t>
  </si>
  <si>
    <t>Date-09-10-2025</t>
  </si>
  <si>
    <t>2526-00143690091</t>
  </si>
  <si>
    <t>Date-12-11-2025</t>
  </si>
  <si>
    <t>2526-00186404831</t>
  </si>
  <si>
    <t>Date-22-12-2025</t>
  </si>
  <si>
    <t>2526-00216135591</t>
  </si>
  <si>
    <t>Date-12-01-2026</t>
  </si>
  <si>
    <t>2526-00364636831</t>
  </si>
  <si>
    <t>Date-25-02-2026</t>
  </si>
  <si>
    <t>2526-00408566251</t>
  </si>
  <si>
    <t>Date-09-03-2026</t>
  </si>
  <si>
    <t>2526-00463135601</t>
  </si>
  <si>
    <t>Date-06-04-2026</t>
  </si>
  <si>
    <t>2526-00500100911</t>
  </si>
  <si>
    <t>Date-29-04-2026</t>
  </si>
  <si>
    <t>2526-00547569241</t>
  </si>
  <si>
    <t>Date-09-06-2026</t>
  </si>
  <si>
    <t>2526-00586892341</t>
  </si>
  <si>
    <t>Date-29-06-2026</t>
  </si>
  <si>
    <t>2526-00607569751</t>
  </si>
  <si>
    <t>Date-30-06-2026</t>
  </si>
  <si>
    <t>Pubali, Gulshan Corporate</t>
  </si>
  <si>
    <t>Trn. Br: 113 ENVATO PTY LTD 240120001
Digi Remit ID:B09525244Z006918 _EASTERN BANK LTD.,REMITTANCE</t>
  </si>
  <si>
    <t>One Bank, Gulshan North</t>
  </si>
  <si>
    <t>Sonali Bank, Gulshan New North Circle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</si>
</sst>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[$-5000445]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quotePrefix="1"/>
    <xf numFmtId="0" fontId="1" fillId="0" borderId="0" xfId="0" applyFont="1"/>
    <xf numFmtId="14" fontId="0" fillId="0" borderId="0" xfId="0" applyNumberFormat="1"/>
    <xf numFmtId="4" fontId="0" fillId="0" borderId="0" xfId="0" applyNumberFormat="1"/>
    <xf numFmtId="14" fontId="0" fillId="2" borderId="0" xfId="0" applyNumberFormat="1" applyFill="1"/>
    <xf numFmtId="0" fontId="0" fillId="2" borderId="0" xfId="0" applyFill="1"/>
    <xf numFmtId="0" fontId="0" fillId="2" borderId="0" xfId="0" quotePrefix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6" borderId="0" xfId="0" quotePrefix="1" applyFill="1"/>
    <xf numFmtId="0" fontId="0" fillId="7" borderId="0" xfId="0" applyFill="1" applyAlignment="1">
      <alignment wrapText="1"/>
    </xf>
    <xf numFmtId="0" fontId="0" fillId="7" borderId="0" xfId="0" applyFill="1"/>
    <xf numFmtId="4" fontId="0" fillId="7" borderId="0" xfId="0" applyNumberFormat="1" applyFill="1"/>
    <xf numFmtId="0" fontId="0" fillId="8" borderId="0" xfId="0" applyFill="1"/>
    <xf numFmtId="0" fontId="0" fillId="8" borderId="0" xfId="0" quotePrefix="1" applyFill="1"/>
    <xf numFmtId="0" fontId="1" fillId="5" borderId="0" xfId="0" applyFont="1" applyFill="1"/>
    <xf numFmtId="0" fontId="0" fillId="5" borderId="0" xfId="0" applyFill="1" applyAlignment="1">
      <alignment wrapText="1"/>
    </xf>
    <xf numFmtId="168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2B66B-FE2F-44D0-8803-6FADA8C4D8A5}">
  <dimension ref="C2:J27"/>
  <sheetViews>
    <sheetView workbookViewId="0">
      <selection activeCell="M14" sqref="M14"/>
    </sheetView>
  </sheetViews>
  <sheetFormatPr defaultRowHeight="15" x14ac:dyDescent="0.25"/>
  <cols>
    <col min="3" max="3" width="16.85546875" bestFit="1" customWidth="1"/>
    <col min="4" max="4" width="18.42578125" bestFit="1" customWidth="1"/>
    <col min="5" max="5" width="17.42578125" bestFit="1" customWidth="1"/>
    <col min="6" max="6" width="17.28515625" bestFit="1" customWidth="1"/>
    <col min="7" max="7" width="8" bestFit="1" customWidth="1"/>
    <col min="8" max="8" width="9.140625" bestFit="1" customWidth="1"/>
    <col min="10" max="10" width="11.7109375" bestFit="1" customWidth="1"/>
  </cols>
  <sheetData>
    <row r="2" spans="3:10" x14ac:dyDescent="0.25">
      <c r="F2" s="2" t="s">
        <v>1</v>
      </c>
      <c r="G2" s="2" t="s">
        <v>2</v>
      </c>
      <c r="H2" s="2" t="s">
        <v>3</v>
      </c>
      <c r="I2" s="2"/>
      <c r="J2" s="2" t="s">
        <v>4</v>
      </c>
    </row>
    <row r="3" spans="3:10" x14ac:dyDescent="0.25">
      <c r="C3" t="s">
        <v>10</v>
      </c>
      <c r="D3" t="s">
        <v>8</v>
      </c>
      <c r="E3" s="1" t="s">
        <v>9</v>
      </c>
      <c r="F3">
        <v>381</v>
      </c>
      <c r="G3">
        <v>49.79</v>
      </c>
      <c r="H3">
        <f>F3-G3</f>
        <v>331.21</v>
      </c>
      <c r="J3">
        <v>87230.26</v>
      </c>
    </row>
    <row r="4" spans="3:10" x14ac:dyDescent="0.25">
      <c r="D4" t="s">
        <v>5</v>
      </c>
      <c r="E4" s="1" t="s">
        <v>0</v>
      </c>
      <c r="F4">
        <v>10138.89</v>
      </c>
      <c r="G4">
        <v>1013.89</v>
      </c>
      <c r="H4">
        <f>F4-G4</f>
        <v>9125</v>
      </c>
      <c r="J4">
        <v>109125</v>
      </c>
    </row>
    <row r="5" spans="3:10" x14ac:dyDescent="0.25">
      <c r="D5" t="s">
        <v>6</v>
      </c>
      <c r="E5" s="1" t="s">
        <v>7</v>
      </c>
      <c r="F5">
        <v>0</v>
      </c>
      <c r="G5">
        <v>0</v>
      </c>
      <c r="H5">
        <v>0</v>
      </c>
    </row>
    <row r="8" spans="3:10" x14ac:dyDescent="0.25">
      <c r="D8" t="s">
        <v>11</v>
      </c>
      <c r="E8" s="1" t="s">
        <v>12</v>
      </c>
      <c r="F8">
        <v>0</v>
      </c>
      <c r="G8">
        <v>0</v>
      </c>
      <c r="H8">
        <v>40000</v>
      </c>
      <c r="J8">
        <v>41065.9</v>
      </c>
    </row>
    <row r="12" spans="3:10" x14ac:dyDescent="0.25">
      <c r="C12" t="s">
        <v>14</v>
      </c>
      <c r="D12" s="3">
        <v>45901</v>
      </c>
      <c r="E12" t="s">
        <v>13</v>
      </c>
      <c r="H12" s="4">
        <v>13212.97</v>
      </c>
    </row>
    <row r="14" spans="3:10" x14ac:dyDescent="0.25">
      <c r="C14" s="5">
        <v>45964</v>
      </c>
      <c r="D14" s="6" t="s">
        <v>15</v>
      </c>
      <c r="E14" s="7" t="s">
        <v>16</v>
      </c>
      <c r="F14" s="6">
        <v>4612.5</v>
      </c>
      <c r="G14" s="6"/>
      <c r="H14" s="6"/>
      <c r="I14" s="6"/>
      <c r="J14" s="6"/>
    </row>
    <row r="15" spans="3:10" x14ac:dyDescent="0.25">
      <c r="C15" s="6"/>
      <c r="D15" s="6"/>
      <c r="E15" s="6"/>
      <c r="F15" s="6"/>
      <c r="G15" s="6"/>
      <c r="H15" s="6"/>
      <c r="I15" s="6"/>
      <c r="J15" s="6"/>
    </row>
    <row r="16" spans="3:10" x14ac:dyDescent="0.25">
      <c r="C16" s="5">
        <v>46022</v>
      </c>
      <c r="D16" s="6" t="s">
        <v>17</v>
      </c>
      <c r="E16" s="7" t="s">
        <v>19</v>
      </c>
      <c r="F16" s="6">
        <v>35.479999999999997</v>
      </c>
      <c r="G16" s="6"/>
      <c r="H16" s="6"/>
      <c r="I16" s="6"/>
      <c r="J16" s="6"/>
    </row>
    <row r="17" spans="3:10" x14ac:dyDescent="0.25">
      <c r="C17" s="6"/>
      <c r="D17" s="6" t="s">
        <v>18</v>
      </c>
      <c r="E17" s="7" t="s">
        <v>19</v>
      </c>
      <c r="F17" s="6"/>
      <c r="G17" s="6">
        <v>3.55</v>
      </c>
      <c r="H17" s="6"/>
      <c r="I17" s="6"/>
      <c r="J17" s="6"/>
    </row>
    <row r="18" spans="3:10" x14ac:dyDescent="0.25">
      <c r="C18" s="6"/>
      <c r="D18" s="6"/>
      <c r="E18" s="6"/>
      <c r="F18" s="6"/>
      <c r="G18" s="6"/>
      <c r="H18" s="6"/>
      <c r="I18" s="6"/>
      <c r="J18" s="6"/>
    </row>
    <row r="19" spans="3:10" x14ac:dyDescent="0.25">
      <c r="C19" s="5">
        <v>46145</v>
      </c>
      <c r="D19" s="6" t="s">
        <v>15</v>
      </c>
      <c r="E19" s="7" t="s">
        <v>16</v>
      </c>
      <c r="F19" s="6">
        <v>4356.25</v>
      </c>
      <c r="G19" s="6"/>
      <c r="H19" s="6"/>
      <c r="I19" s="6"/>
      <c r="J19" s="6"/>
    </row>
    <row r="20" spans="3:10" x14ac:dyDescent="0.25">
      <c r="C20" s="6"/>
      <c r="D20" s="6"/>
      <c r="E20" s="6"/>
      <c r="F20" s="6"/>
      <c r="G20" s="6"/>
      <c r="H20" s="6"/>
      <c r="I20" s="6"/>
      <c r="J20" s="6"/>
    </row>
    <row r="21" spans="3:10" x14ac:dyDescent="0.25">
      <c r="C21" s="5">
        <v>46203</v>
      </c>
      <c r="D21" s="6" t="s">
        <v>17</v>
      </c>
      <c r="E21" s="7" t="s">
        <v>19</v>
      </c>
      <c r="F21" s="6">
        <v>120.91</v>
      </c>
      <c r="G21" s="6"/>
      <c r="H21" s="6"/>
      <c r="I21" s="6"/>
      <c r="J21" s="6"/>
    </row>
    <row r="22" spans="3:10" x14ac:dyDescent="0.25">
      <c r="C22" s="6"/>
      <c r="D22" s="6" t="s">
        <v>18</v>
      </c>
      <c r="E22" s="7" t="s">
        <v>19</v>
      </c>
      <c r="F22" s="6"/>
      <c r="G22" s="6">
        <v>18.14</v>
      </c>
      <c r="H22" s="6"/>
      <c r="I22" s="6"/>
      <c r="J22" s="8">
        <v>33878.82</v>
      </c>
    </row>
    <row r="25" spans="3:10" x14ac:dyDescent="0.25">
      <c r="E25" s="1" t="s">
        <v>16</v>
      </c>
      <c r="F25">
        <f>F14+F19</f>
        <v>8968.75</v>
      </c>
    </row>
    <row r="27" spans="3:10" x14ac:dyDescent="0.25">
      <c r="E27" s="1" t="s">
        <v>19</v>
      </c>
      <c r="F27">
        <f>F16+F21</f>
        <v>156.38999999999999</v>
      </c>
      <c r="G27">
        <f>G17+G22</f>
        <v>21.69</v>
      </c>
      <c r="J27" s="4">
        <f>J22</f>
        <v>33878.82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1374D-A718-41F3-94CD-41CBFD607B49}">
  <dimension ref="B2:J62"/>
  <sheetViews>
    <sheetView tabSelected="1" topLeftCell="A40" workbookViewId="0">
      <selection activeCell="D70" sqref="D70"/>
    </sheetView>
  </sheetViews>
  <sheetFormatPr defaultRowHeight="15" x14ac:dyDescent="0.25"/>
  <cols>
    <col min="2" max="2" width="6.7109375" bestFit="1" customWidth="1"/>
    <col min="3" max="3" width="45.140625" bestFit="1" customWidth="1"/>
    <col min="4" max="4" width="61.5703125" bestFit="1" customWidth="1"/>
    <col min="5" max="5" width="17.28515625" bestFit="1" customWidth="1"/>
    <col min="6" max="6" width="12.7109375" bestFit="1" customWidth="1"/>
    <col min="7" max="7" width="16.85546875" bestFit="1" customWidth="1"/>
    <col min="8" max="8" width="15.42578125" bestFit="1" customWidth="1"/>
    <col min="9" max="9" width="35.7109375" bestFit="1" customWidth="1"/>
    <col min="10" max="10" width="21.42578125" bestFit="1" customWidth="1"/>
  </cols>
  <sheetData>
    <row r="2" spans="2:10" x14ac:dyDescent="0.25">
      <c r="B2" t="s">
        <v>20</v>
      </c>
      <c r="C2" s="9" t="s">
        <v>21</v>
      </c>
      <c r="D2" s="9" t="s">
        <v>22</v>
      </c>
      <c r="E2" s="9"/>
      <c r="F2" s="9"/>
      <c r="G2" s="9"/>
      <c r="H2" s="9"/>
      <c r="I2" s="9"/>
      <c r="J2" s="9"/>
    </row>
    <row r="3" spans="2:10" x14ac:dyDescent="0.25">
      <c r="C3" s="9" t="s">
        <v>23</v>
      </c>
      <c r="D3" s="10">
        <v>45839</v>
      </c>
      <c r="E3" s="10">
        <v>46203</v>
      </c>
      <c r="F3" s="9"/>
      <c r="G3" s="9"/>
      <c r="H3" s="9"/>
      <c r="I3" s="9"/>
      <c r="J3" s="9"/>
    </row>
    <row r="4" spans="2:10" x14ac:dyDescent="0.25">
      <c r="C4" s="9"/>
      <c r="D4" s="9"/>
      <c r="E4" s="9"/>
      <c r="F4" s="9"/>
      <c r="G4" s="9"/>
      <c r="H4" s="9"/>
      <c r="I4" s="9"/>
      <c r="J4" s="9"/>
    </row>
    <row r="5" spans="2:10" x14ac:dyDescent="0.25">
      <c r="C5" s="9" t="s">
        <v>24</v>
      </c>
      <c r="D5" s="9" t="s">
        <v>39</v>
      </c>
      <c r="E5" s="9"/>
      <c r="F5" s="9"/>
      <c r="G5" s="9"/>
      <c r="H5" s="9"/>
      <c r="I5" s="9"/>
      <c r="J5" s="9" t="s">
        <v>26</v>
      </c>
    </row>
    <row r="6" spans="2:10" x14ac:dyDescent="0.25">
      <c r="C6" s="9"/>
      <c r="D6" s="9"/>
      <c r="E6" s="9"/>
      <c r="F6" s="9"/>
      <c r="G6" s="9"/>
      <c r="H6" s="9"/>
      <c r="I6" s="9"/>
      <c r="J6" s="9"/>
    </row>
    <row r="7" spans="2:10" x14ac:dyDescent="0.25">
      <c r="C7" s="9" t="s">
        <v>27</v>
      </c>
      <c r="D7" s="9" t="s">
        <v>25</v>
      </c>
      <c r="E7" s="9"/>
      <c r="F7" s="9"/>
      <c r="G7" s="9"/>
      <c r="H7" s="9"/>
      <c r="I7" s="9"/>
      <c r="J7" s="9"/>
    </row>
    <row r="8" spans="2:10" x14ac:dyDescent="0.25">
      <c r="C8" s="9"/>
      <c r="D8" s="9" t="s">
        <v>28</v>
      </c>
      <c r="E8" s="9"/>
      <c r="F8" s="9"/>
      <c r="G8" s="9"/>
      <c r="H8" s="9"/>
      <c r="I8" s="9"/>
      <c r="J8" s="9" t="s">
        <v>29</v>
      </c>
    </row>
    <row r="9" spans="2:10" x14ac:dyDescent="0.25">
      <c r="C9" s="9"/>
      <c r="D9" s="9" t="s">
        <v>30</v>
      </c>
      <c r="E9" s="9"/>
      <c r="F9" s="9"/>
      <c r="G9" s="9"/>
      <c r="H9" s="9"/>
      <c r="I9" s="9"/>
      <c r="J9" s="9" t="s">
        <v>31</v>
      </c>
    </row>
    <row r="11" spans="2:10" x14ac:dyDescent="0.25">
      <c r="B11" t="s">
        <v>32</v>
      </c>
      <c r="C11" s="11" t="s">
        <v>33</v>
      </c>
      <c r="D11" s="11" t="s">
        <v>34</v>
      </c>
      <c r="E11" s="11"/>
      <c r="F11" s="11"/>
      <c r="G11" s="11"/>
      <c r="H11" s="11"/>
      <c r="I11" s="11"/>
      <c r="J11" s="11"/>
    </row>
    <row r="12" spans="2:10" x14ac:dyDescent="0.25">
      <c r="C12" s="11"/>
      <c r="D12" s="11"/>
      <c r="E12" s="11"/>
      <c r="F12" s="11"/>
      <c r="G12" s="11"/>
      <c r="H12" s="11"/>
      <c r="I12" s="11"/>
      <c r="J12" s="11"/>
    </row>
    <row r="13" spans="2:10" x14ac:dyDescent="0.25">
      <c r="C13" s="11" t="s">
        <v>35</v>
      </c>
      <c r="D13" s="11" t="s">
        <v>25</v>
      </c>
      <c r="E13" s="11"/>
      <c r="F13" s="11"/>
      <c r="G13" s="11"/>
      <c r="H13" s="11"/>
      <c r="I13" s="11"/>
      <c r="J13" s="11" t="s">
        <v>36</v>
      </c>
    </row>
    <row r="14" spans="2:10" x14ac:dyDescent="0.25">
      <c r="C14" s="11"/>
      <c r="D14" s="11"/>
      <c r="E14" s="11"/>
      <c r="F14" s="11"/>
      <c r="G14" s="11"/>
      <c r="H14" s="11"/>
      <c r="I14" s="11"/>
      <c r="J14" s="11"/>
    </row>
    <row r="15" spans="2:10" x14ac:dyDescent="0.25">
      <c r="C15" s="11" t="s">
        <v>37</v>
      </c>
      <c r="D15" s="11"/>
      <c r="E15" s="11"/>
      <c r="F15" s="11"/>
      <c r="G15" s="11"/>
      <c r="H15" s="11"/>
      <c r="I15" s="11"/>
      <c r="J15" s="11"/>
    </row>
    <row r="16" spans="2:10" x14ac:dyDescent="0.25">
      <c r="C16" s="11"/>
      <c r="D16" s="11" t="s">
        <v>38</v>
      </c>
      <c r="E16" s="11" t="s">
        <v>39</v>
      </c>
      <c r="F16" s="11"/>
      <c r="G16" s="11"/>
      <c r="H16" s="11"/>
      <c r="I16" s="11"/>
      <c r="J16" s="11"/>
    </row>
    <row r="17" spans="2:10" x14ac:dyDescent="0.25">
      <c r="C17" s="11"/>
      <c r="D17" s="11" t="s">
        <v>40</v>
      </c>
      <c r="E17" s="11" t="s">
        <v>25</v>
      </c>
      <c r="F17" s="11"/>
      <c r="G17" s="11"/>
      <c r="H17" s="11"/>
      <c r="I17" s="11"/>
      <c r="J17" s="11"/>
    </row>
    <row r="19" spans="2:10" x14ac:dyDescent="0.25">
      <c r="B19" t="s">
        <v>41</v>
      </c>
      <c r="C19" s="12" t="s">
        <v>28</v>
      </c>
      <c r="D19" s="12" t="s">
        <v>44</v>
      </c>
      <c r="E19" s="12"/>
      <c r="F19" s="12">
        <v>1311</v>
      </c>
      <c r="G19" s="12" t="s">
        <v>86</v>
      </c>
      <c r="H19" s="12" t="s">
        <v>87</v>
      </c>
      <c r="I19" s="12" t="s">
        <v>113</v>
      </c>
      <c r="J19" s="22">
        <v>1291962</v>
      </c>
    </row>
    <row r="20" spans="2:10" x14ac:dyDescent="0.25">
      <c r="C20" s="12"/>
      <c r="D20" s="12" t="s">
        <v>42</v>
      </c>
      <c r="E20" s="12"/>
      <c r="F20" s="12">
        <v>1311</v>
      </c>
      <c r="G20" s="12" t="s">
        <v>88</v>
      </c>
      <c r="H20" s="12" t="s">
        <v>89</v>
      </c>
      <c r="I20" s="12" t="s">
        <v>113</v>
      </c>
      <c r="J20" s="22">
        <v>1253383</v>
      </c>
    </row>
    <row r="21" spans="2:10" x14ac:dyDescent="0.25">
      <c r="C21" s="12"/>
      <c r="D21" s="12" t="s">
        <v>43</v>
      </c>
      <c r="E21" s="12"/>
      <c r="F21" s="12">
        <v>1543</v>
      </c>
      <c r="G21" s="12" t="s">
        <v>90</v>
      </c>
      <c r="H21" s="12" t="s">
        <v>91</v>
      </c>
      <c r="I21" s="12" t="s">
        <v>113</v>
      </c>
      <c r="J21" s="22">
        <v>1253259</v>
      </c>
    </row>
    <row r="22" spans="2:10" x14ac:dyDescent="0.25">
      <c r="C22" s="12"/>
      <c r="D22" s="12"/>
      <c r="E22" s="12"/>
      <c r="F22" s="12">
        <v>1543</v>
      </c>
      <c r="G22" s="21" t="s">
        <v>92</v>
      </c>
      <c r="H22" s="12" t="s">
        <v>93</v>
      </c>
      <c r="I22" s="12" t="s">
        <v>112</v>
      </c>
      <c r="J22" s="22">
        <v>1253676</v>
      </c>
    </row>
    <row r="23" spans="2:10" x14ac:dyDescent="0.25">
      <c r="C23" s="12"/>
      <c r="D23" s="12" t="s">
        <v>45</v>
      </c>
      <c r="E23" s="12"/>
      <c r="F23" s="12">
        <v>1543</v>
      </c>
      <c r="G23" s="12" t="s">
        <v>94</v>
      </c>
      <c r="H23" s="12" t="s">
        <v>95</v>
      </c>
      <c r="I23" s="12" t="s">
        <v>112</v>
      </c>
      <c r="J23" s="22">
        <v>1282553</v>
      </c>
    </row>
    <row r="24" spans="2:10" x14ac:dyDescent="0.25">
      <c r="C24" s="12"/>
      <c r="D24" s="12" t="s">
        <v>46</v>
      </c>
      <c r="E24" s="12">
        <v>612000</v>
      </c>
      <c r="F24" s="12">
        <v>1543</v>
      </c>
      <c r="G24" s="12" t="s">
        <v>96</v>
      </c>
      <c r="H24" s="12" t="s">
        <v>97</v>
      </c>
      <c r="I24" s="12" t="s">
        <v>112</v>
      </c>
      <c r="J24" s="22">
        <v>1283267</v>
      </c>
    </row>
    <row r="25" spans="2:10" x14ac:dyDescent="0.25">
      <c r="C25" s="12"/>
      <c r="D25" s="12" t="s">
        <v>47</v>
      </c>
      <c r="E25" s="12">
        <v>306000</v>
      </c>
      <c r="F25" s="12">
        <v>1543</v>
      </c>
      <c r="G25" s="12" t="s">
        <v>98</v>
      </c>
      <c r="H25" s="12" t="s">
        <v>99</v>
      </c>
      <c r="I25" s="12" t="s">
        <v>112</v>
      </c>
      <c r="J25" s="22">
        <v>1286025</v>
      </c>
    </row>
    <row r="26" spans="2:10" x14ac:dyDescent="0.25">
      <c r="C26" s="12"/>
      <c r="D26" s="12" t="s">
        <v>48</v>
      </c>
      <c r="E26" s="12">
        <v>61200</v>
      </c>
      <c r="F26" s="12">
        <v>1543</v>
      </c>
      <c r="G26" s="12" t="s">
        <v>100</v>
      </c>
      <c r="H26" s="12" t="s">
        <v>101</v>
      </c>
      <c r="I26" s="12" t="s">
        <v>112</v>
      </c>
      <c r="J26" s="22">
        <v>1281025</v>
      </c>
    </row>
    <row r="27" spans="2:10" x14ac:dyDescent="0.25">
      <c r="C27" s="12"/>
      <c r="D27" s="12" t="s">
        <v>49</v>
      </c>
      <c r="E27" s="12">
        <v>40800</v>
      </c>
      <c r="F27" s="12">
        <v>1543</v>
      </c>
      <c r="G27" s="12" t="s">
        <v>102</v>
      </c>
      <c r="H27" s="12" t="s">
        <v>103</v>
      </c>
      <c r="I27" s="12" t="s">
        <v>112</v>
      </c>
      <c r="J27" s="22">
        <v>1279445</v>
      </c>
    </row>
    <row r="28" spans="2:10" x14ac:dyDescent="0.25">
      <c r="C28" s="12"/>
      <c r="D28" s="12" t="s">
        <v>50</v>
      </c>
      <c r="E28" s="12">
        <v>102000</v>
      </c>
      <c r="F28" s="12">
        <v>1543</v>
      </c>
      <c r="G28" s="12" t="s">
        <v>104</v>
      </c>
      <c r="H28" s="12" t="s">
        <v>105</v>
      </c>
      <c r="I28" s="12" t="s">
        <v>112</v>
      </c>
      <c r="J28" s="22">
        <v>1292789</v>
      </c>
    </row>
    <row r="29" spans="2:10" x14ac:dyDescent="0.25">
      <c r="C29" s="12"/>
      <c r="D29" s="12" t="s">
        <v>51</v>
      </c>
      <c r="E29" s="12">
        <v>28050</v>
      </c>
      <c r="F29" s="12">
        <v>1543</v>
      </c>
      <c r="G29" s="12" t="s">
        <v>106</v>
      </c>
      <c r="H29" s="12" t="s">
        <v>107</v>
      </c>
      <c r="I29" s="12" t="s">
        <v>112</v>
      </c>
      <c r="J29" s="22">
        <v>1262294</v>
      </c>
    </row>
    <row r="30" spans="2:10" x14ac:dyDescent="0.25">
      <c r="C30" s="12"/>
      <c r="D30" s="12"/>
      <c r="E30" s="12"/>
      <c r="F30" s="12">
        <v>1543</v>
      </c>
      <c r="G30" s="12" t="s">
        <v>108</v>
      </c>
      <c r="H30" s="12" t="s">
        <v>109</v>
      </c>
      <c r="I30" s="12" t="s">
        <v>110</v>
      </c>
      <c r="J30" s="22">
        <v>1254674</v>
      </c>
    </row>
    <row r="31" spans="2:10" x14ac:dyDescent="0.25">
      <c r="C31" s="12"/>
      <c r="D31" s="12"/>
      <c r="E31" s="20">
        <f>SUM(E24:E29)</f>
        <v>1150050</v>
      </c>
      <c r="F31" s="20">
        <f>SUM(F19:F30)</f>
        <v>18052</v>
      </c>
      <c r="G31" s="20" t="s">
        <v>85</v>
      </c>
      <c r="H31" s="20"/>
      <c r="I31" s="20"/>
      <c r="J31" s="12" t="s">
        <v>52</v>
      </c>
    </row>
    <row r="33" spans="2:10" x14ac:dyDescent="0.25">
      <c r="C33" s="13" t="s">
        <v>53</v>
      </c>
      <c r="D33" s="13"/>
      <c r="E33" s="13"/>
      <c r="F33" s="13"/>
      <c r="G33" s="13"/>
      <c r="H33" s="13"/>
      <c r="I33" s="13"/>
      <c r="J33" s="13"/>
    </row>
    <row r="34" spans="2:10" x14ac:dyDescent="0.25">
      <c r="C34" s="13" t="s">
        <v>56</v>
      </c>
      <c r="D34" s="13" t="s">
        <v>55</v>
      </c>
      <c r="E34" s="13" t="s">
        <v>62</v>
      </c>
      <c r="F34" s="13" t="s">
        <v>61</v>
      </c>
      <c r="G34" s="13" t="s">
        <v>60</v>
      </c>
      <c r="H34" s="13" t="s">
        <v>59</v>
      </c>
      <c r="I34" s="13" t="s">
        <v>58</v>
      </c>
      <c r="J34" s="13"/>
    </row>
    <row r="35" spans="2:10" x14ac:dyDescent="0.25">
      <c r="C35" s="13" t="s">
        <v>57</v>
      </c>
      <c r="D35" s="13" t="s">
        <v>54</v>
      </c>
      <c r="E35" s="14" t="s">
        <v>9</v>
      </c>
      <c r="F35" s="13">
        <v>381</v>
      </c>
      <c r="G35" s="13">
        <v>0</v>
      </c>
      <c r="H35" s="13">
        <v>50</v>
      </c>
      <c r="I35" s="13">
        <v>87230</v>
      </c>
      <c r="J35" s="13"/>
    </row>
    <row r="36" spans="2:10" x14ac:dyDescent="0.25">
      <c r="C36" s="13"/>
      <c r="D36" s="13" t="s">
        <v>64</v>
      </c>
      <c r="E36" s="14" t="s">
        <v>0</v>
      </c>
      <c r="F36" s="13">
        <v>10139</v>
      </c>
      <c r="G36" s="13">
        <v>0</v>
      </c>
      <c r="H36" s="13">
        <v>1014</v>
      </c>
      <c r="I36" s="13">
        <v>109125</v>
      </c>
      <c r="J36" s="13"/>
    </row>
    <row r="37" spans="2:10" x14ac:dyDescent="0.25">
      <c r="C37" s="13"/>
      <c r="D37" s="13"/>
      <c r="E37" s="14"/>
      <c r="F37" s="13"/>
      <c r="G37" s="13"/>
      <c r="H37" s="13"/>
      <c r="I37" s="13"/>
      <c r="J37" s="13"/>
    </row>
    <row r="38" spans="2:10" x14ac:dyDescent="0.25">
      <c r="C38" s="13" t="s">
        <v>63</v>
      </c>
      <c r="D38" s="13" t="s">
        <v>54</v>
      </c>
      <c r="E38" s="14" t="s">
        <v>19</v>
      </c>
      <c r="F38" s="13">
        <v>156</v>
      </c>
      <c r="G38" s="13">
        <v>0</v>
      </c>
      <c r="H38" s="13">
        <v>22</v>
      </c>
      <c r="I38" s="13">
        <v>33879</v>
      </c>
      <c r="J38" s="13"/>
    </row>
    <row r="39" spans="2:10" x14ac:dyDescent="0.25">
      <c r="C39" s="13"/>
      <c r="D39" s="13" t="s">
        <v>64</v>
      </c>
      <c r="E39" s="14" t="s">
        <v>16</v>
      </c>
      <c r="F39" s="13">
        <v>8969</v>
      </c>
      <c r="G39" s="13">
        <v>0</v>
      </c>
      <c r="H39" s="13">
        <v>0</v>
      </c>
      <c r="I39" s="13">
        <v>100000</v>
      </c>
      <c r="J39" s="13"/>
    </row>
    <row r="40" spans="2:10" x14ac:dyDescent="0.25">
      <c r="C40" s="13"/>
      <c r="D40" s="13" t="s">
        <v>11</v>
      </c>
      <c r="E40" s="13"/>
      <c r="F40" s="13"/>
      <c r="G40" s="13"/>
      <c r="H40" s="13"/>
      <c r="I40" s="13"/>
      <c r="J40" s="13"/>
    </row>
    <row r="43" spans="2:10" ht="30" x14ac:dyDescent="0.25">
      <c r="C43" s="15" t="s">
        <v>65</v>
      </c>
      <c r="D43" s="15" t="s">
        <v>111</v>
      </c>
      <c r="E43" s="16"/>
      <c r="F43" s="17">
        <v>13212.97</v>
      </c>
      <c r="G43" s="16"/>
      <c r="H43" s="16"/>
      <c r="I43" s="16"/>
      <c r="J43" s="16"/>
    </row>
    <row r="45" spans="2:10" x14ac:dyDescent="0.25">
      <c r="B45" t="s">
        <v>66</v>
      </c>
      <c r="C45" s="18" t="s">
        <v>67</v>
      </c>
      <c r="D45" s="18"/>
      <c r="E45" s="18"/>
      <c r="F45" s="18"/>
      <c r="G45" s="18"/>
      <c r="H45" s="18"/>
      <c r="I45" s="18"/>
      <c r="J45" s="18"/>
    </row>
    <row r="46" spans="2:10" x14ac:dyDescent="0.25">
      <c r="C46" s="18"/>
      <c r="D46" s="18" t="s">
        <v>62</v>
      </c>
      <c r="E46" s="18" t="s">
        <v>68</v>
      </c>
      <c r="F46" s="18"/>
      <c r="G46" s="18"/>
      <c r="H46" s="18"/>
      <c r="I46" s="18"/>
      <c r="J46" s="18"/>
    </row>
    <row r="47" spans="2:10" x14ac:dyDescent="0.25">
      <c r="C47" s="18" t="s">
        <v>10</v>
      </c>
      <c r="D47" s="19" t="s">
        <v>12</v>
      </c>
      <c r="E47" s="18">
        <v>40000</v>
      </c>
      <c r="F47" s="18"/>
      <c r="G47" s="18"/>
      <c r="H47" s="18"/>
      <c r="I47" s="18"/>
      <c r="J47" s="18"/>
    </row>
    <row r="48" spans="2:10" x14ac:dyDescent="0.25">
      <c r="C48" s="18"/>
      <c r="D48" s="18"/>
      <c r="E48" s="18"/>
      <c r="F48" s="18"/>
      <c r="G48" s="18"/>
      <c r="H48" s="18"/>
      <c r="I48" s="18"/>
      <c r="J48" s="18"/>
    </row>
    <row r="49" spans="2:10" x14ac:dyDescent="0.25">
      <c r="C49" s="18" t="s">
        <v>69</v>
      </c>
      <c r="D49" s="18"/>
      <c r="E49" s="18"/>
      <c r="F49" s="18"/>
      <c r="G49" s="18"/>
      <c r="H49" s="18"/>
      <c r="I49" s="18"/>
      <c r="J49" s="18"/>
    </row>
    <row r="50" spans="2:10" x14ac:dyDescent="0.25">
      <c r="C50" s="18"/>
      <c r="D50" s="18" t="s">
        <v>71</v>
      </c>
      <c r="E50" s="18" t="s">
        <v>72</v>
      </c>
      <c r="F50" s="18"/>
      <c r="G50" s="18"/>
      <c r="H50" s="18"/>
      <c r="I50" s="18"/>
      <c r="J50" s="18"/>
    </row>
    <row r="51" spans="2:10" x14ac:dyDescent="0.25">
      <c r="C51" s="18" t="s">
        <v>70</v>
      </c>
      <c r="D51" s="18">
        <v>28050</v>
      </c>
      <c r="E51" s="18">
        <v>28050</v>
      </c>
      <c r="F51" s="18"/>
      <c r="G51" s="18"/>
      <c r="H51" s="18"/>
      <c r="I51" s="18"/>
      <c r="J51" s="18"/>
    </row>
    <row r="53" spans="2:10" x14ac:dyDescent="0.25">
      <c r="B53" t="s">
        <v>73</v>
      </c>
      <c r="C53" s="9"/>
      <c r="D53" s="9"/>
      <c r="E53" s="9" t="s">
        <v>81</v>
      </c>
      <c r="F53" s="9" t="s">
        <v>82</v>
      </c>
      <c r="G53" s="9" t="s">
        <v>83</v>
      </c>
      <c r="H53" s="9" t="s">
        <v>84</v>
      </c>
      <c r="I53" s="9"/>
      <c r="J53" s="9"/>
    </row>
    <row r="54" spans="2:10" x14ac:dyDescent="0.25">
      <c r="C54" s="9" t="s">
        <v>74</v>
      </c>
      <c r="D54" s="9">
        <f>H54</f>
        <v>156600</v>
      </c>
      <c r="E54" s="9">
        <f>F54/12</f>
        <v>12000</v>
      </c>
      <c r="F54" s="9">
        <v>144000</v>
      </c>
      <c r="G54" s="9">
        <v>13050</v>
      </c>
      <c r="H54" s="9">
        <f>G54*12</f>
        <v>156600</v>
      </c>
      <c r="I54" s="9"/>
      <c r="J54" s="9"/>
    </row>
    <row r="55" spans="2:10" x14ac:dyDescent="0.25">
      <c r="C55" s="9" t="s">
        <v>75</v>
      </c>
      <c r="D55" s="9">
        <f t="shared" ref="D55:D59" si="0">H55</f>
        <v>78000</v>
      </c>
      <c r="E55" s="9">
        <f t="shared" ref="E55:E59" si="1">F55/12</f>
        <v>6500</v>
      </c>
      <c r="F55" s="9">
        <v>78000</v>
      </c>
      <c r="G55" s="9">
        <v>6500</v>
      </c>
      <c r="H55" s="9">
        <f>G55*12</f>
        <v>78000</v>
      </c>
      <c r="I55" s="9"/>
      <c r="J55" s="9"/>
    </row>
    <row r="56" spans="2:10" x14ac:dyDescent="0.25">
      <c r="C56" s="9" t="s">
        <v>76</v>
      </c>
      <c r="D56" s="9">
        <f t="shared" si="0"/>
        <v>9600</v>
      </c>
      <c r="E56" s="9">
        <f t="shared" si="1"/>
        <v>725</v>
      </c>
      <c r="F56" s="9">
        <v>8700</v>
      </c>
      <c r="G56" s="9">
        <v>800</v>
      </c>
      <c r="H56" s="9">
        <f>G56*12</f>
        <v>9600</v>
      </c>
      <c r="I56" s="9"/>
      <c r="J56" s="9"/>
    </row>
    <row r="57" spans="2:10" x14ac:dyDescent="0.25">
      <c r="C57" s="9" t="s">
        <v>77</v>
      </c>
      <c r="D57" s="9">
        <f t="shared" si="0"/>
        <v>14160</v>
      </c>
      <c r="E57" s="9">
        <f t="shared" si="1"/>
        <v>1180</v>
      </c>
      <c r="F57" s="9">
        <v>14160</v>
      </c>
      <c r="G57" s="9">
        <v>1180</v>
      </c>
      <c r="H57" s="9">
        <f>G57*12</f>
        <v>14160</v>
      </c>
      <c r="I57" s="9"/>
      <c r="J57" s="9"/>
    </row>
    <row r="58" spans="2:10" x14ac:dyDescent="0.25">
      <c r="C58" s="9" t="s">
        <v>78</v>
      </c>
      <c r="D58" s="9">
        <f t="shared" si="0"/>
        <v>7560</v>
      </c>
      <c r="E58" s="9">
        <f t="shared" si="1"/>
        <v>600</v>
      </c>
      <c r="F58" s="9">
        <v>7200</v>
      </c>
      <c r="G58" s="9">
        <v>630</v>
      </c>
      <c r="H58" s="9">
        <f>G58*12</f>
        <v>7560</v>
      </c>
      <c r="I58" s="9"/>
      <c r="J58" s="9"/>
    </row>
    <row r="59" spans="2:10" x14ac:dyDescent="0.25">
      <c r="C59" s="9" t="s">
        <v>79</v>
      </c>
      <c r="D59" s="9">
        <f t="shared" si="0"/>
        <v>15600</v>
      </c>
      <c r="E59" s="9">
        <f t="shared" si="1"/>
        <v>1250</v>
      </c>
      <c r="F59" s="9">
        <v>15000</v>
      </c>
      <c r="G59" s="9">
        <v>1300</v>
      </c>
      <c r="H59" s="9">
        <f>G59*12</f>
        <v>15600</v>
      </c>
      <c r="I59" s="9"/>
      <c r="J59" s="9"/>
    </row>
    <row r="60" spans="2:10" x14ac:dyDescent="0.25">
      <c r="C60" s="9"/>
      <c r="D60" s="9"/>
      <c r="E60" s="9"/>
      <c r="F60" s="9"/>
      <c r="G60" s="9"/>
      <c r="H60" s="9"/>
      <c r="I60" s="9"/>
      <c r="J60" s="9"/>
    </row>
    <row r="61" spans="2:10" x14ac:dyDescent="0.25">
      <c r="C61" s="9" t="s">
        <v>80</v>
      </c>
      <c r="D61" s="9">
        <v>1085</v>
      </c>
      <c r="E61" s="9"/>
      <c r="F61" s="9">
        <v>6698</v>
      </c>
      <c r="G61" s="9"/>
      <c r="H61" s="9">
        <v>5500</v>
      </c>
      <c r="I61" s="9"/>
      <c r="J61" s="9"/>
    </row>
    <row r="62" spans="2:10" x14ac:dyDescent="0.25">
      <c r="C62" s="9"/>
      <c r="D62" s="9"/>
      <c r="E62" s="9"/>
      <c r="F62" s="9"/>
      <c r="G62" s="9" t="s">
        <v>85</v>
      </c>
      <c r="H62" s="9">
        <f>SUM(H54:H61)</f>
        <v>287020</v>
      </c>
      <c r="I62" s="9"/>
      <c r="J62" s="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 - Ibne Kayesh</dc:creator>
  <cp:lastModifiedBy>IT - Ibne Kayesh</cp:lastModifiedBy>
  <dcterms:created xsi:type="dcterms:W3CDTF">2026-09-19T08:19:32Z</dcterms:created>
  <dcterms:modified xsi:type="dcterms:W3CDTF">2026-09-19T12:06:20Z</dcterms:modified>
</cp:coreProperties>
</file>